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007" codeName="{00000000-0000-0000-0000-000000000000}"/>
  <workbookPr showInkAnnotation="0" autoCompressPictures="0"/>
  <bookViews>
    <workbookView xWindow="0" yWindow="0" windowWidth="25640" windowHeight="16060" tabRatio="500"/>
  </bookViews>
  <sheets>
    <sheet name="Sheet1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" i="1" l="1"/>
  <c r="F9" i="1"/>
  <c r="D10" i="1"/>
  <c r="E10" i="1"/>
  <c r="F10" i="1"/>
  <c r="D11" i="1"/>
  <c r="E11" i="1"/>
  <c r="F11" i="1"/>
  <c r="D12" i="1"/>
  <c r="E12" i="1"/>
  <c r="F12" i="1"/>
  <c r="D13" i="1"/>
  <c r="E13" i="1"/>
  <c r="F13" i="1"/>
  <c r="D14" i="1"/>
  <c r="E14" i="1"/>
  <c r="F14" i="1"/>
  <c r="D15" i="1"/>
  <c r="E15" i="1"/>
  <c r="F15" i="1"/>
  <c r="D16" i="1"/>
  <c r="E16" i="1"/>
  <c r="F16" i="1"/>
  <c r="D17" i="1"/>
  <c r="E17" i="1"/>
  <c r="F17" i="1"/>
  <c r="D18" i="1"/>
  <c r="E18" i="1"/>
  <c r="F18" i="1"/>
  <c r="D19" i="1"/>
  <c r="E19" i="1"/>
  <c r="F19" i="1"/>
  <c r="D20" i="1"/>
  <c r="E20" i="1"/>
  <c r="F20" i="1"/>
  <c r="D21" i="1"/>
  <c r="E21" i="1"/>
  <c r="F21" i="1"/>
  <c r="D22" i="1"/>
  <c r="E22" i="1"/>
  <c r="F22" i="1"/>
  <c r="D23" i="1"/>
  <c r="E23" i="1"/>
  <c r="F23" i="1"/>
  <c r="D24" i="1"/>
  <c r="E24" i="1"/>
  <c r="F24" i="1"/>
  <c r="D25" i="1"/>
  <c r="E25" i="1"/>
  <c r="F25" i="1"/>
  <c r="D26" i="1"/>
  <c r="E26" i="1"/>
  <c r="F26" i="1"/>
  <c r="D27" i="1"/>
  <c r="E27" i="1"/>
  <c r="F27" i="1"/>
  <c r="D28" i="1"/>
  <c r="E28" i="1"/>
  <c r="F28" i="1"/>
  <c r="D29" i="1"/>
  <c r="E29" i="1"/>
  <c r="F29" i="1"/>
  <c r="D30" i="1"/>
  <c r="E30" i="1"/>
  <c r="F30" i="1"/>
  <c r="D31" i="1"/>
  <c r="E31" i="1"/>
  <c r="F31" i="1"/>
  <c r="D32" i="1"/>
  <c r="E32" i="1"/>
  <c r="F32" i="1"/>
  <c r="D33" i="1"/>
  <c r="E33" i="1"/>
  <c r="F33" i="1"/>
  <c r="D34" i="1"/>
  <c r="E34" i="1"/>
  <c r="F34" i="1"/>
  <c r="D35" i="1"/>
  <c r="E35" i="1"/>
  <c r="F35" i="1"/>
  <c r="D36" i="1"/>
  <c r="E36" i="1"/>
  <c r="F36" i="1"/>
  <c r="D37" i="1"/>
  <c r="E37" i="1"/>
  <c r="F37" i="1"/>
  <c r="D38" i="1"/>
  <c r="E38" i="1"/>
  <c r="F38" i="1"/>
  <c r="D39" i="1"/>
  <c r="E39" i="1"/>
  <c r="F39" i="1"/>
  <c r="D40" i="1"/>
  <c r="E40" i="1"/>
  <c r="F40" i="1"/>
  <c r="D41" i="1"/>
  <c r="E41" i="1"/>
  <c r="F41" i="1"/>
  <c r="D42" i="1"/>
  <c r="E42" i="1"/>
  <c r="F42" i="1"/>
  <c r="D43" i="1"/>
  <c r="E43" i="1"/>
  <c r="F43" i="1"/>
  <c r="D44" i="1"/>
  <c r="E44" i="1"/>
  <c r="F44" i="1"/>
  <c r="D45" i="1"/>
  <c r="E45" i="1"/>
  <c r="F45" i="1"/>
  <c r="D46" i="1"/>
  <c r="E46" i="1"/>
  <c r="F46" i="1"/>
  <c r="D47" i="1"/>
  <c r="E47" i="1"/>
  <c r="F47" i="1"/>
  <c r="D48" i="1"/>
  <c r="E48" i="1"/>
  <c r="F48" i="1"/>
  <c r="D49" i="1"/>
  <c r="E49" i="1"/>
  <c r="F49" i="1"/>
  <c r="D50" i="1"/>
  <c r="E50" i="1"/>
  <c r="F50" i="1"/>
  <c r="D51" i="1"/>
  <c r="E51" i="1"/>
  <c r="F51" i="1"/>
  <c r="D52" i="1"/>
  <c r="E52" i="1"/>
  <c r="F52" i="1"/>
  <c r="D53" i="1"/>
  <c r="E53" i="1"/>
  <c r="F53" i="1"/>
  <c r="D54" i="1"/>
  <c r="E54" i="1"/>
  <c r="F54" i="1"/>
  <c r="D55" i="1"/>
  <c r="E55" i="1"/>
  <c r="F55" i="1"/>
  <c r="D56" i="1"/>
  <c r="E56" i="1"/>
  <c r="F56" i="1"/>
  <c r="D57" i="1"/>
  <c r="E57" i="1"/>
  <c r="F57" i="1"/>
  <c r="D58" i="1"/>
  <c r="E58" i="1"/>
  <c r="F58" i="1"/>
  <c r="D59" i="1"/>
  <c r="E59" i="1"/>
  <c r="F59" i="1"/>
  <c r="D60" i="1"/>
  <c r="E60" i="1"/>
  <c r="F60" i="1"/>
  <c r="D61" i="1"/>
  <c r="E61" i="1"/>
  <c r="F61" i="1"/>
  <c r="D62" i="1"/>
  <c r="E62" i="1"/>
  <c r="F62" i="1"/>
  <c r="D63" i="1"/>
  <c r="E63" i="1"/>
  <c r="F63" i="1"/>
  <c r="D64" i="1"/>
  <c r="E64" i="1"/>
  <c r="F64" i="1"/>
  <c r="D65" i="1"/>
  <c r="E65" i="1"/>
  <c r="F65" i="1"/>
  <c r="D66" i="1"/>
  <c r="E66" i="1"/>
  <c r="F66" i="1"/>
  <c r="D67" i="1"/>
  <c r="E67" i="1"/>
  <c r="F67" i="1"/>
  <c r="D68" i="1"/>
  <c r="E68" i="1"/>
  <c r="F68" i="1"/>
  <c r="D69" i="1"/>
  <c r="E69" i="1"/>
  <c r="F69" i="1"/>
  <c r="D70" i="1"/>
  <c r="E70" i="1"/>
  <c r="F70" i="1"/>
  <c r="D71" i="1"/>
  <c r="E71" i="1"/>
  <c r="F71" i="1"/>
  <c r="D72" i="1"/>
  <c r="E72" i="1"/>
  <c r="F72" i="1"/>
  <c r="D73" i="1"/>
  <c r="E73" i="1"/>
  <c r="F73" i="1"/>
  <c r="D74" i="1"/>
  <c r="E74" i="1"/>
  <c r="F74" i="1"/>
  <c r="D75" i="1"/>
  <c r="E75" i="1"/>
  <c r="F75" i="1"/>
  <c r="D76" i="1"/>
  <c r="E76" i="1"/>
  <c r="F76" i="1"/>
  <c r="D77" i="1"/>
  <c r="E77" i="1"/>
  <c r="F77" i="1"/>
  <c r="D78" i="1"/>
  <c r="E78" i="1"/>
  <c r="F78" i="1"/>
  <c r="D79" i="1"/>
  <c r="E79" i="1"/>
  <c r="F79" i="1"/>
  <c r="D80" i="1"/>
  <c r="E80" i="1"/>
  <c r="F80" i="1"/>
  <c r="D81" i="1"/>
  <c r="E81" i="1"/>
  <c r="F81" i="1"/>
  <c r="D82" i="1"/>
  <c r="E82" i="1"/>
  <c r="F82" i="1"/>
  <c r="D83" i="1"/>
  <c r="E83" i="1"/>
  <c r="F83" i="1"/>
  <c r="D84" i="1"/>
  <c r="E84" i="1"/>
  <c r="F84" i="1"/>
  <c r="D85" i="1"/>
  <c r="E85" i="1"/>
  <c r="F85" i="1"/>
  <c r="D86" i="1"/>
  <c r="E86" i="1"/>
  <c r="F86" i="1"/>
  <c r="D87" i="1"/>
  <c r="E87" i="1"/>
  <c r="F87" i="1"/>
  <c r="D88" i="1"/>
  <c r="E88" i="1"/>
  <c r="F88" i="1"/>
  <c r="D89" i="1"/>
  <c r="E89" i="1"/>
  <c r="F89" i="1"/>
  <c r="D90" i="1"/>
  <c r="E90" i="1"/>
  <c r="F90" i="1"/>
  <c r="D91" i="1"/>
  <c r="E91" i="1"/>
  <c r="F91" i="1"/>
  <c r="D92" i="1"/>
  <c r="E92" i="1"/>
  <c r="F92" i="1"/>
  <c r="D93" i="1"/>
  <c r="E93" i="1"/>
  <c r="F93" i="1"/>
  <c r="D94" i="1"/>
  <c r="E94" i="1"/>
  <c r="F94" i="1"/>
  <c r="D95" i="1"/>
  <c r="E95" i="1"/>
  <c r="F95" i="1"/>
  <c r="D96" i="1"/>
  <c r="E96" i="1"/>
  <c r="F96" i="1"/>
  <c r="D97" i="1"/>
  <c r="E97" i="1"/>
  <c r="F97" i="1"/>
  <c r="D98" i="1"/>
  <c r="E98" i="1"/>
  <c r="F98" i="1"/>
  <c r="D99" i="1"/>
  <c r="E99" i="1"/>
  <c r="F99" i="1"/>
  <c r="D100" i="1"/>
  <c r="E100" i="1"/>
  <c r="F100" i="1"/>
  <c r="D101" i="1"/>
  <c r="E101" i="1"/>
  <c r="F101" i="1"/>
  <c r="D102" i="1"/>
  <c r="E102" i="1"/>
  <c r="F102" i="1"/>
  <c r="D103" i="1"/>
  <c r="E103" i="1"/>
  <c r="F103" i="1"/>
  <c r="D104" i="1"/>
  <c r="E104" i="1"/>
  <c r="F104" i="1"/>
  <c r="D105" i="1"/>
  <c r="E105" i="1"/>
  <c r="F105" i="1"/>
  <c r="D106" i="1"/>
  <c r="E106" i="1"/>
  <c r="F106" i="1"/>
  <c r="D107" i="1"/>
  <c r="E107" i="1"/>
  <c r="F107" i="1"/>
  <c r="D108" i="1"/>
  <c r="E108" i="1"/>
  <c r="F108" i="1"/>
  <c r="D109" i="1"/>
  <c r="E109" i="1"/>
  <c r="F109" i="1"/>
  <c r="D110" i="1"/>
  <c r="E110" i="1"/>
  <c r="F110" i="1"/>
  <c r="D111" i="1"/>
  <c r="E111" i="1"/>
  <c r="F111" i="1"/>
  <c r="D112" i="1"/>
  <c r="E112" i="1"/>
  <c r="F112" i="1"/>
  <c r="D113" i="1"/>
  <c r="E113" i="1"/>
  <c r="F113" i="1"/>
  <c r="D114" i="1"/>
  <c r="E114" i="1"/>
  <c r="F114" i="1"/>
  <c r="D115" i="1"/>
  <c r="E115" i="1"/>
  <c r="F115" i="1"/>
  <c r="D116" i="1"/>
  <c r="E116" i="1"/>
  <c r="F116" i="1"/>
  <c r="D117" i="1"/>
  <c r="E117" i="1"/>
  <c r="F117" i="1"/>
  <c r="D118" i="1"/>
  <c r="E118" i="1"/>
  <c r="F118" i="1"/>
  <c r="D119" i="1"/>
  <c r="E119" i="1"/>
  <c r="F119" i="1"/>
  <c r="D120" i="1"/>
  <c r="E120" i="1"/>
  <c r="F120" i="1"/>
  <c r="D121" i="1"/>
  <c r="E121" i="1"/>
  <c r="F121" i="1"/>
  <c r="D122" i="1"/>
  <c r="E122" i="1"/>
  <c r="F122" i="1"/>
  <c r="D123" i="1"/>
  <c r="E123" i="1"/>
  <c r="F123" i="1"/>
  <c r="D124" i="1"/>
  <c r="E124" i="1"/>
  <c r="F124" i="1"/>
  <c r="D125" i="1"/>
  <c r="E125" i="1"/>
  <c r="F125" i="1"/>
  <c r="D126" i="1"/>
  <c r="E126" i="1"/>
  <c r="F126" i="1"/>
  <c r="D127" i="1"/>
  <c r="E127" i="1"/>
  <c r="F127" i="1"/>
  <c r="D128" i="1"/>
  <c r="E128" i="1"/>
  <c r="F128" i="1"/>
  <c r="D129" i="1"/>
  <c r="E129" i="1"/>
  <c r="F129" i="1"/>
  <c r="D130" i="1"/>
  <c r="E130" i="1"/>
  <c r="F130" i="1"/>
  <c r="D131" i="1"/>
  <c r="E131" i="1"/>
  <c r="F131" i="1"/>
  <c r="D132" i="1"/>
  <c r="E132" i="1"/>
  <c r="F132" i="1"/>
  <c r="D133" i="1"/>
  <c r="E133" i="1"/>
  <c r="F133" i="1"/>
  <c r="D134" i="1"/>
  <c r="E134" i="1"/>
  <c r="F134" i="1"/>
  <c r="D135" i="1"/>
  <c r="E135" i="1"/>
  <c r="F135" i="1"/>
  <c r="D136" i="1"/>
  <c r="E136" i="1"/>
  <c r="F136" i="1"/>
  <c r="D137" i="1"/>
  <c r="E137" i="1"/>
  <c r="F137" i="1"/>
  <c r="D138" i="1"/>
  <c r="E138" i="1"/>
  <c r="F138" i="1"/>
  <c r="D139" i="1"/>
  <c r="E139" i="1"/>
  <c r="F139" i="1"/>
  <c r="D140" i="1"/>
  <c r="E140" i="1"/>
  <c r="F140" i="1"/>
  <c r="D141" i="1"/>
  <c r="E141" i="1"/>
  <c r="F141" i="1"/>
  <c r="D142" i="1"/>
  <c r="E142" i="1"/>
  <c r="F142" i="1"/>
  <c r="D143" i="1"/>
  <c r="E143" i="1"/>
  <c r="F143" i="1"/>
  <c r="D144" i="1"/>
  <c r="E144" i="1"/>
  <c r="F144" i="1"/>
  <c r="D145" i="1"/>
  <c r="E145" i="1"/>
  <c r="F145" i="1"/>
  <c r="D146" i="1"/>
  <c r="E146" i="1"/>
  <c r="F146" i="1"/>
  <c r="D147" i="1"/>
  <c r="E147" i="1"/>
  <c r="F147" i="1"/>
  <c r="D148" i="1"/>
  <c r="E148" i="1"/>
  <c r="F148" i="1"/>
  <c r="D149" i="1"/>
  <c r="E149" i="1"/>
  <c r="F149" i="1"/>
  <c r="D150" i="1"/>
  <c r="E150" i="1"/>
  <c r="F150" i="1"/>
  <c r="D151" i="1"/>
  <c r="E151" i="1"/>
  <c r="F151" i="1"/>
  <c r="D152" i="1"/>
  <c r="E152" i="1"/>
  <c r="F152" i="1"/>
  <c r="D153" i="1"/>
  <c r="E153" i="1"/>
  <c r="F153" i="1"/>
  <c r="D154" i="1"/>
  <c r="E154" i="1"/>
  <c r="F154" i="1"/>
  <c r="D155" i="1"/>
  <c r="E155" i="1"/>
  <c r="F155" i="1"/>
  <c r="D156" i="1"/>
  <c r="E156" i="1"/>
  <c r="F156" i="1"/>
  <c r="D157" i="1"/>
  <c r="E157" i="1"/>
  <c r="F157" i="1"/>
  <c r="D158" i="1"/>
  <c r="E158" i="1"/>
  <c r="F158" i="1"/>
  <c r="D159" i="1"/>
  <c r="E159" i="1"/>
  <c r="F159" i="1"/>
  <c r="D160" i="1"/>
  <c r="E160" i="1"/>
  <c r="F160" i="1"/>
  <c r="D161" i="1"/>
  <c r="E161" i="1"/>
  <c r="F161" i="1"/>
  <c r="D162" i="1"/>
  <c r="E162" i="1"/>
  <c r="F162" i="1"/>
  <c r="D163" i="1"/>
  <c r="E163" i="1"/>
  <c r="F163" i="1"/>
  <c r="D164" i="1"/>
  <c r="E164" i="1"/>
  <c r="F164" i="1"/>
  <c r="D165" i="1"/>
  <c r="E165" i="1"/>
  <c r="F165" i="1"/>
  <c r="D166" i="1"/>
  <c r="E166" i="1"/>
  <c r="F166" i="1"/>
  <c r="D167" i="1"/>
  <c r="E167" i="1"/>
  <c r="F167" i="1"/>
  <c r="D168" i="1"/>
  <c r="E168" i="1"/>
  <c r="F168" i="1"/>
  <c r="D169" i="1"/>
  <c r="E169" i="1"/>
  <c r="F169" i="1"/>
  <c r="D170" i="1"/>
  <c r="E170" i="1"/>
  <c r="F170" i="1"/>
  <c r="D171" i="1"/>
  <c r="E171" i="1"/>
  <c r="F171" i="1"/>
  <c r="D172" i="1"/>
  <c r="E172" i="1"/>
  <c r="F172" i="1"/>
  <c r="D173" i="1"/>
  <c r="E173" i="1"/>
  <c r="F173" i="1"/>
  <c r="D174" i="1"/>
  <c r="E174" i="1"/>
  <c r="F174" i="1"/>
  <c r="D175" i="1"/>
  <c r="E175" i="1"/>
  <c r="F175" i="1"/>
  <c r="D176" i="1"/>
  <c r="E176" i="1"/>
  <c r="F176" i="1"/>
  <c r="D177" i="1"/>
  <c r="E177" i="1"/>
  <c r="F177" i="1"/>
  <c r="D178" i="1"/>
  <c r="E178" i="1"/>
  <c r="F178" i="1"/>
  <c r="D179" i="1"/>
  <c r="E179" i="1"/>
  <c r="F179" i="1"/>
  <c r="D180" i="1"/>
  <c r="E180" i="1"/>
  <c r="F180" i="1"/>
  <c r="D181" i="1"/>
  <c r="E181" i="1"/>
  <c r="F181" i="1"/>
  <c r="D182" i="1"/>
  <c r="E182" i="1"/>
  <c r="F182" i="1"/>
  <c r="D183" i="1"/>
  <c r="E183" i="1"/>
  <c r="F183" i="1"/>
  <c r="D184" i="1"/>
  <c r="E184" i="1"/>
  <c r="F184" i="1"/>
  <c r="D185" i="1"/>
  <c r="E185" i="1"/>
  <c r="F185" i="1"/>
  <c r="D186" i="1"/>
  <c r="E186" i="1"/>
  <c r="F186" i="1"/>
  <c r="D187" i="1"/>
  <c r="E187" i="1"/>
  <c r="F187" i="1"/>
  <c r="D188" i="1"/>
  <c r="E188" i="1"/>
  <c r="F188" i="1"/>
  <c r="D189" i="1"/>
  <c r="E189" i="1"/>
  <c r="F189" i="1"/>
  <c r="D190" i="1"/>
  <c r="E190" i="1"/>
  <c r="F190" i="1"/>
  <c r="D191" i="1"/>
  <c r="E191" i="1"/>
  <c r="F191" i="1"/>
  <c r="D192" i="1"/>
  <c r="E192" i="1"/>
  <c r="F192" i="1"/>
  <c r="D193" i="1"/>
  <c r="E193" i="1"/>
  <c r="F193" i="1"/>
  <c r="D194" i="1"/>
  <c r="E194" i="1"/>
  <c r="F194" i="1"/>
  <c r="D195" i="1"/>
  <c r="E195" i="1"/>
  <c r="F195" i="1"/>
  <c r="D196" i="1"/>
  <c r="E196" i="1"/>
  <c r="F196" i="1"/>
  <c r="D197" i="1"/>
  <c r="E197" i="1"/>
  <c r="F197" i="1"/>
  <c r="D198" i="1"/>
  <c r="E198" i="1"/>
  <c r="F198" i="1"/>
  <c r="D199" i="1"/>
  <c r="E199" i="1"/>
  <c r="F199" i="1"/>
  <c r="D200" i="1"/>
  <c r="E200" i="1"/>
  <c r="F200" i="1"/>
  <c r="D201" i="1"/>
  <c r="E201" i="1"/>
  <c r="F201" i="1"/>
  <c r="D202" i="1"/>
  <c r="E202" i="1"/>
  <c r="F202" i="1"/>
  <c r="D203" i="1"/>
  <c r="E203" i="1"/>
  <c r="F203" i="1"/>
  <c r="D204" i="1"/>
  <c r="E204" i="1"/>
  <c r="F204" i="1"/>
  <c r="D205" i="1"/>
  <c r="E205" i="1"/>
  <c r="F205" i="1"/>
  <c r="D206" i="1"/>
  <c r="E206" i="1"/>
  <c r="F206" i="1"/>
  <c r="D207" i="1"/>
  <c r="E207" i="1"/>
  <c r="F207" i="1"/>
  <c r="D208" i="1"/>
  <c r="E208" i="1"/>
  <c r="F208" i="1"/>
  <c r="D209" i="1"/>
  <c r="E209" i="1"/>
  <c r="F209" i="1"/>
  <c r="D210" i="1"/>
  <c r="E210" i="1"/>
  <c r="F210" i="1"/>
  <c r="D211" i="1"/>
  <c r="E211" i="1"/>
  <c r="F211" i="1"/>
  <c r="D212" i="1"/>
  <c r="E212" i="1"/>
  <c r="F212" i="1"/>
  <c r="D213" i="1"/>
  <c r="E213" i="1"/>
  <c r="F213" i="1"/>
  <c r="D214" i="1"/>
  <c r="E214" i="1"/>
  <c r="F214" i="1"/>
  <c r="D215" i="1"/>
  <c r="E215" i="1"/>
  <c r="F215" i="1"/>
  <c r="D216" i="1"/>
  <c r="E216" i="1"/>
  <c r="F216" i="1"/>
  <c r="D217" i="1"/>
  <c r="E217" i="1"/>
  <c r="F217" i="1"/>
  <c r="D218" i="1"/>
  <c r="E218" i="1"/>
  <c r="F218" i="1"/>
  <c r="D219" i="1"/>
  <c r="E219" i="1"/>
  <c r="F219" i="1"/>
  <c r="D220" i="1"/>
  <c r="E220" i="1"/>
  <c r="F220" i="1"/>
  <c r="D221" i="1"/>
  <c r="E221" i="1"/>
  <c r="F221" i="1"/>
  <c r="D222" i="1"/>
  <c r="E222" i="1"/>
  <c r="F222" i="1"/>
  <c r="D223" i="1"/>
  <c r="E223" i="1"/>
  <c r="F223" i="1"/>
  <c r="D224" i="1"/>
  <c r="E224" i="1"/>
  <c r="F224" i="1"/>
  <c r="D225" i="1"/>
  <c r="E225" i="1"/>
  <c r="F225" i="1"/>
  <c r="D226" i="1"/>
  <c r="E226" i="1"/>
  <c r="F226" i="1"/>
  <c r="D227" i="1"/>
  <c r="E227" i="1"/>
  <c r="F227" i="1"/>
  <c r="D228" i="1"/>
  <c r="E228" i="1"/>
  <c r="F228" i="1"/>
  <c r="D229" i="1"/>
  <c r="E229" i="1"/>
  <c r="F229" i="1"/>
  <c r="D230" i="1"/>
  <c r="E230" i="1"/>
  <c r="F230" i="1"/>
  <c r="D231" i="1"/>
  <c r="E231" i="1"/>
  <c r="F231" i="1"/>
  <c r="D232" i="1"/>
  <c r="E232" i="1"/>
  <c r="F232" i="1"/>
  <c r="D233" i="1"/>
  <c r="E233" i="1"/>
  <c r="F233" i="1"/>
  <c r="D234" i="1"/>
  <c r="E234" i="1"/>
  <c r="F234" i="1"/>
  <c r="D235" i="1"/>
  <c r="E235" i="1"/>
  <c r="F235" i="1"/>
  <c r="D236" i="1"/>
  <c r="E236" i="1"/>
  <c r="F236" i="1"/>
  <c r="D237" i="1"/>
  <c r="E237" i="1"/>
  <c r="F237" i="1"/>
  <c r="D238" i="1"/>
  <c r="E238" i="1"/>
  <c r="F238" i="1"/>
  <c r="D239" i="1"/>
  <c r="E239" i="1"/>
  <c r="F239" i="1"/>
  <c r="D240" i="1"/>
  <c r="E240" i="1"/>
  <c r="F240" i="1"/>
  <c r="D241" i="1"/>
  <c r="E241" i="1"/>
  <c r="F241" i="1"/>
  <c r="D242" i="1"/>
  <c r="E242" i="1"/>
  <c r="F242" i="1"/>
  <c r="D243" i="1"/>
  <c r="E243" i="1"/>
  <c r="F243" i="1"/>
  <c r="D244" i="1"/>
  <c r="E244" i="1"/>
  <c r="F244" i="1"/>
  <c r="D245" i="1"/>
  <c r="E245" i="1"/>
  <c r="F245" i="1"/>
  <c r="D246" i="1"/>
  <c r="E246" i="1"/>
  <c r="F246" i="1"/>
  <c r="D247" i="1"/>
  <c r="E247" i="1"/>
  <c r="F247" i="1"/>
  <c r="D248" i="1"/>
  <c r="E248" i="1"/>
  <c r="F248" i="1"/>
  <c r="D249" i="1"/>
  <c r="E249" i="1"/>
  <c r="F249" i="1"/>
  <c r="D250" i="1"/>
  <c r="E250" i="1"/>
  <c r="F250" i="1"/>
  <c r="D251" i="1"/>
  <c r="E251" i="1"/>
  <c r="F251" i="1"/>
  <c r="D252" i="1"/>
  <c r="E252" i="1"/>
  <c r="F252" i="1"/>
  <c r="D253" i="1"/>
  <c r="E253" i="1"/>
  <c r="F253" i="1"/>
  <c r="D254" i="1"/>
  <c r="E254" i="1"/>
  <c r="F254" i="1"/>
  <c r="D255" i="1"/>
  <c r="E255" i="1"/>
  <c r="F255" i="1"/>
  <c r="D256" i="1"/>
  <c r="E256" i="1"/>
  <c r="F256" i="1"/>
  <c r="D257" i="1"/>
  <c r="E257" i="1"/>
  <c r="F257" i="1"/>
  <c r="D258" i="1"/>
  <c r="E258" i="1"/>
  <c r="F258" i="1"/>
  <c r="D259" i="1"/>
  <c r="E259" i="1"/>
  <c r="F259" i="1"/>
  <c r="D260" i="1"/>
  <c r="E260" i="1"/>
  <c r="F260" i="1"/>
  <c r="D261" i="1"/>
  <c r="E261" i="1"/>
  <c r="F261" i="1"/>
  <c r="D262" i="1"/>
  <c r="E262" i="1"/>
  <c r="F262" i="1"/>
  <c r="D263" i="1"/>
  <c r="E263" i="1"/>
  <c r="F263" i="1"/>
  <c r="D264" i="1"/>
  <c r="E264" i="1"/>
  <c r="F264" i="1"/>
  <c r="D265" i="1"/>
  <c r="E265" i="1"/>
  <c r="F265" i="1"/>
  <c r="D266" i="1"/>
  <c r="E266" i="1"/>
  <c r="F266" i="1"/>
  <c r="D267" i="1"/>
  <c r="E267" i="1"/>
  <c r="F267" i="1"/>
  <c r="D268" i="1"/>
  <c r="E268" i="1"/>
  <c r="F268" i="1"/>
  <c r="D269" i="1"/>
  <c r="E269" i="1"/>
  <c r="F269" i="1"/>
  <c r="D270" i="1"/>
  <c r="E270" i="1"/>
  <c r="F270" i="1"/>
  <c r="D271" i="1"/>
  <c r="E271" i="1"/>
  <c r="F271" i="1"/>
  <c r="D272" i="1"/>
  <c r="E272" i="1"/>
  <c r="F272" i="1"/>
  <c r="D273" i="1"/>
  <c r="E273" i="1"/>
  <c r="F273" i="1"/>
  <c r="D274" i="1"/>
  <c r="E274" i="1"/>
  <c r="F274" i="1"/>
  <c r="D275" i="1"/>
  <c r="E275" i="1"/>
  <c r="F275" i="1"/>
  <c r="D276" i="1"/>
  <c r="E276" i="1"/>
  <c r="F276" i="1"/>
  <c r="D277" i="1"/>
  <c r="E277" i="1"/>
  <c r="F277" i="1"/>
  <c r="D278" i="1"/>
  <c r="E278" i="1"/>
  <c r="F278" i="1"/>
  <c r="D279" i="1"/>
  <c r="E279" i="1"/>
  <c r="F279" i="1"/>
  <c r="D280" i="1"/>
  <c r="E280" i="1"/>
  <c r="F280" i="1"/>
  <c r="D281" i="1"/>
  <c r="E281" i="1"/>
  <c r="F281" i="1"/>
  <c r="D282" i="1"/>
  <c r="E282" i="1"/>
  <c r="F282" i="1"/>
  <c r="D283" i="1"/>
  <c r="E283" i="1"/>
  <c r="F283" i="1"/>
  <c r="D284" i="1"/>
  <c r="E284" i="1"/>
  <c r="F284" i="1"/>
  <c r="D285" i="1"/>
  <c r="E285" i="1"/>
  <c r="F285" i="1"/>
  <c r="D286" i="1"/>
  <c r="E286" i="1"/>
  <c r="F286" i="1"/>
  <c r="D287" i="1"/>
  <c r="E287" i="1"/>
  <c r="F287" i="1"/>
  <c r="D288" i="1"/>
  <c r="E288" i="1"/>
  <c r="F288" i="1"/>
  <c r="D289" i="1"/>
  <c r="E289" i="1"/>
  <c r="F289" i="1"/>
  <c r="D290" i="1"/>
  <c r="E290" i="1"/>
  <c r="F290" i="1"/>
  <c r="D291" i="1"/>
  <c r="E291" i="1"/>
  <c r="F291" i="1"/>
  <c r="D292" i="1"/>
  <c r="E292" i="1"/>
  <c r="F292" i="1"/>
  <c r="D293" i="1"/>
  <c r="E293" i="1"/>
  <c r="F293" i="1"/>
  <c r="D294" i="1"/>
  <c r="E294" i="1"/>
  <c r="F294" i="1"/>
  <c r="D295" i="1"/>
  <c r="E295" i="1"/>
  <c r="F295" i="1"/>
  <c r="D296" i="1"/>
  <c r="E296" i="1"/>
  <c r="F296" i="1"/>
  <c r="D297" i="1"/>
  <c r="E297" i="1"/>
  <c r="F297" i="1"/>
  <c r="D298" i="1"/>
  <c r="E298" i="1"/>
  <c r="F298" i="1"/>
  <c r="D299" i="1"/>
  <c r="E299" i="1"/>
  <c r="F299" i="1"/>
  <c r="D300" i="1"/>
  <c r="E300" i="1"/>
  <c r="F300" i="1"/>
  <c r="D301" i="1"/>
  <c r="E301" i="1"/>
  <c r="F301" i="1"/>
  <c r="D302" i="1"/>
  <c r="E302" i="1"/>
  <c r="F302" i="1"/>
  <c r="D303" i="1"/>
  <c r="E303" i="1"/>
  <c r="F303" i="1"/>
  <c r="D304" i="1"/>
  <c r="E304" i="1"/>
  <c r="F304" i="1"/>
  <c r="D305" i="1"/>
  <c r="E305" i="1"/>
  <c r="F305" i="1"/>
  <c r="D306" i="1"/>
  <c r="E306" i="1"/>
  <c r="F306" i="1"/>
  <c r="D307" i="1"/>
  <c r="E307" i="1"/>
  <c r="F307" i="1"/>
  <c r="D308" i="1"/>
  <c r="E308" i="1"/>
  <c r="F308" i="1"/>
  <c r="D309" i="1"/>
  <c r="E309" i="1"/>
  <c r="F309" i="1"/>
  <c r="D310" i="1"/>
  <c r="E310" i="1"/>
  <c r="F310" i="1"/>
  <c r="D311" i="1"/>
  <c r="E311" i="1"/>
  <c r="F311" i="1"/>
  <c r="D312" i="1"/>
  <c r="E312" i="1"/>
  <c r="F312" i="1"/>
  <c r="D313" i="1"/>
  <c r="E313" i="1"/>
  <c r="F313" i="1"/>
  <c r="D314" i="1"/>
  <c r="E314" i="1"/>
  <c r="F314" i="1"/>
  <c r="D315" i="1"/>
  <c r="E315" i="1"/>
  <c r="F315" i="1"/>
  <c r="D316" i="1"/>
  <c r="E316" i="1"/>
  <c r="F316" i="1"/>
  <c r="D317" i="1"/>
  <c r="E317" i="1"/>
  <c r="F317" i="1"/>
  <c r="D318" i="1"/>
  <c r="E318" i="1"/>
  <c r="F318" i="1"/>
  <c r="D319" i="1"/>
  <c r="E319" i="1"/>
  <c r="F319" i="1"/>
  <c r="D320" i="1"/>
  <c r="E320" i="1"/>
  <c r="F320" i="1"/>
  <c r="D321" i="1"/>
  <c r="E321" i="1"/>
  <c r="F321" i="1"/>
  <c r="D322" i="1"/>
  <c r="E322" i="1"/>
  <c r="F322" i="1"/>
  <c r="D323" i="1"/>
  <c r="E323" i="1"/>
  <c r="F323" i="1"/>
  <c r="D324" i="1"/>
  <c r="E324" i="1"/>
  <c r="F324" i="1"/>
  <c r="D325" i="1"/>
  <c r="E325" i="1"/>
  <c r="F325" i="1"/>
  <c r="D326" i="1"/>
  <c r="E326" i="1"/>
  <c r="F326" i="1"/>
  <c r="D327" i="1"/>
  <c r="E327" i="1"/>
  <c r="F327" i="1"/>
  <c r="D328" i="1"/>
  <c r="E328" i="1"/>
  <c r="F328" i="1"/>
  <c r="D329" i="1"/>
  <c r="E329" i="1"/>
  <c r="F329" i="1"/>
  <c r="D330" i="1"/>
  <c r="E330" i="1"/>
  <c r="F330" i="1"/>
  <c r="D331" i="1"/>
  <c r="E331" i="1"/>
  <c r="F331" i="1"/>
  <c r="D332" i="1"/>
  <c r="E332" i="1"/>
  <c r="F332" i="1"/>
  <c r="D333" i="1"/>
  <c r="E333" i="1"/>
  <c r="F333" i="1"/>
  <c r="D334" i="1"/>
  <c r="E334" i="1"/>
  <c r="F334" i="1"/>
  <c r="D335" i="1"/>
  <c r="E335" i="1"/>
  <c r="F335" i="1"/>
  <c r="D336" i="1"/>
  <c r="E336" i="1"/>
  <c r="F336" i="1"/>
  <c r="D337" i="1"/>
  <c r="E337" i="1"/>
  <c r="F337" i="1"/>
  <c r="D338" i="1"/>
  <c r="E338" i="1"/>
  <c r="F338" i="1"/>
  <c r="D339" i="1"/>
  <c r="E339" i="1"/>
  <c r="F339" i="1"/>
  <c r="D340" i="1"/>
  <c r="E340" i="1"/>
  <c r="F340" i="1"/>
  <c r="D341" i="1"/>
  <c r="E341" i="1"/>
  <c r="F341" i="1"/>
  <c r="D342" i="1"/>
  <c r="E342" i="1"/>
  <c r="F342" i="1"/>
  <c r="D343" i="1"/>
  <c r="E343" i="1"/>
  <c r="F343" i="1"/>
  <c r="D344" i="1"/>
  <c r="E344" i="1"/>
  <c r="F344" i="1"/>
  <c r="D345" i="1"/>
  <c r="E345" i="1"/>
  <c r="F345" i="1"/>
  <c r="D346" i="1"/>
  <c r="E346" i="1"/>
  <c r="F346" i="1"/>
  <c r="D347" i="1"/>
  <c r="E347" i="1"/>
  <c r="F347" i="1"/>
  <c r="D348" i="1"/>
  <c r="E348" i="1"/>
  <c r="F348" i="1"/>
  <c r="D349" i="1"/>
  <c r="E349" i="1"/>
  <c r="F349" i="1"/>
  <c r="D350" i="1"/>
  <c r="E350" i="1"/>
  <c r="F350" i="1"/>
  <c r="D351" i="1"/>
  <c r="E351" i="1"/>
  <c r="F351" i="1"/>
  <c r="D352" i="1"/>
  <c r="E352" i="1"/>
  <c r="F352" i="1"/>
  <c r="D353" i="1"/>
  <c r="E353" i="1"/>
  <c r="F353" i="1"/>
  <c r="D354" i="1"/>
  <c r="E354" i="1"/>
  <c r="F354" i="1"/>
  <c r="D355" i="1"/>
  <c r="E355" i="1"/>
  <c r="F355" i="1"/>
  <c r="D356" i="1"/>
  <c r="E356" i="1"/>
  <c r="F356" i="1"/>
  <c r="D357" i="1"/>
  <c r="E357" i="1"/>
  <c r="F357" i="1"/>
  <c r="D358" i="1"/>
  <c r="E358" i="1"/>
  <c r="F358" i="1"/>
  <c r="D359" i="1"/>
  <c r="E359" i="1"/>
  <c r="F359" i="1"/>
  <c r="D360" i="1"/>
  <c r="E360" i="1"/>
  <c r="F360" i="1"/>
  <c r="D361" i="1"/>
  <c r="E361" i="1"/>
  <c r="F361" i="1"/>
  <c r="D362" i="1"/>
  <c r="E362" i="1"/>
  <c r="F362" i="1"/>
  <c r="D363" i="1"/>
  <c r="E363" i="1"/>
  <c r="F363" i="1"/>
  <c r="D364" i="1"/>
  <c r="E364" i="1"/>
  <c r="F364" i="1"/>
  <c r="D365" i="1"/>
  <c r="E365" i="1"/>
  <c r="F365" i="1"/>
  <c r="D366" i="1"/>
  <c r="E366" i="1"/>
  <c r="F366" i="1"/>
  <c r="D367" i="1"/>
  <c r="E367" i="1"/>
  <c r="F367" i="1"/>
  <c r="D368" i="1"/>
  <c r="E368" i="1"/>
  <c r="K4" i="1"/>
  <c r="K5" i="1"/>
  <c r="G4" i="1"/>
  <c r="D9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F368" i="1"/>
  <c r="D369" i="1"/>
  <c r="E369" i="1"/>
  <c r="F36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</calcChain>
</file>

<file path=xl/sharedStrings.xml><?xml version="1.0" encoding="utf-8"?>
<sst xmlns="http://schemas.openxmlformats.org/spreadsheetml/2006/main" count="16" uniqueCount="16">
  <si>
    <t>Typical Fixed Rate Mortgage</t>
  </si>
  <si>
    <t>Mortgage Amount</t>
  </si>
  <si>
    <t>Interest Rate</t>
  </si>
  <si>
    <t>Amount to Zero out</t>
  </si>
  <si>
    <t>Total Interest</t>
  </si>
  <si>
    <t>Term (yrs)</t>
  </si>
  <si>
    <t>Monthly Payment</t>
  </si>
  <si>
    <t>PV</t>
  </si>
  <si>
    <t>Start Date</t>
  </si>
  <si>
    <t>Discount Rate</t>
  </si>
  <si>
    <t>Date</t>
  </si>
  <si>
    <t>Principal Outstanding</t>
  </si>
  <si>
    <t>Interest paid</t>
  </si>
  <si>
    <t>Principal Paid</t>
  </si>
  <si>
    <t>EDIT THE BOX BELOW:</t>
  </si>
  <si>
    <t>THEN HIT THE BUTTON TO CALCULATE MONTHLY PAYMENT.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</si>
</sst>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&quot;$&quot;#,##0.00;[Red]&quot;$&quot;#,##0.00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indexed="72"/>
      <name val="Lucida Grande"/>
    </font>
    <font>
      <sz val="12"/>
      <color theme="3" tint="0.59999389629810485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8">
    <xf numFmtId="0" fontId="0" fillId="0" borderId="0" xfId="0"/>
    <xf numFmtId="14" fontId="0" fillId="0" borderId="0" xfId="0" applyNumberFormat="1"/>
    <xf numFmtId="14" fontId="0" fillId="0" borderId="0" xfId="0" applyNumberFormat="1" applyFont="1"/>
    <xf numFmtId="0" fontId="0" fillId="0" borderId="1" xfId="0" applyBorder="1"/>
    <xf numFmtId="44" fontId="0" fillId="0" borderId="2" xfId="1" applyFont="1" applyBorder="1"/>
    <xf numFmtId="0" fontId="0" fillId="0" borderId="3" xfId="0" applyBorder="1"/>
    <xf numFmtId="0" fontId="0" fillId="0" borderId="4" xfId="0" applyBorder="1"/>
    <xf numFmtId="44" fontId="0" fillId="0" borderId="5" xfId="1" applyFont="1" applyBorder="1"/>
    <xf numFmtId="0" fontId="0" fillId="0" borderId="6" xfId="0" applyBorder="1"/>
    <xf numFmtId="164" fontId="0" fillId="0" borderId="0" xfId="1" applyNumberFormat="1" applyFont="1" applyAlignment="1"/>
    <xf numFmtId="164" fontId="0" fillId="0" borderId="0" xfId="0" applyNumberFormat="1"/>
    <xf numFmtId="10" fontId="0" fillId="0" borderId="0" xfId="0" applyNumberFormat="1"/>
    <xf numFmtId="8" fontId="0" fillId="0" borderId="0" xfId="0" applyNumberFormat="1"/>
    <xf numFmtId="164" fontId="0" fillId="2" borderId="7" xfId="0" applyNumberFormat="1" applyFill="1" applyBorder="1"/>
    <xf numFmtId="10" fontId="0" fillId="2" borderId="8" xfId="2" applyNumberFormat="1" applyFont="1" applyFill="1" applyBorder="1"/>
    <xf numFmtId="0" fontId="0" fillId="2" borderId="8" xfId="0" applyFill="1" applyBorder="1"/>
    <xf numFmtId="14" fontId="0" fillId="2" borderId="9" xfId="0" applyNumberFormat="1" applyFill="1" applyBorder="1"/>
    <xf numFmtId="0" fontId="5" fillId="0" borderId="0" xfId="0" applyFont="1"/>
  </cellXfs>
  <cellStyles count="9">
    <cellStyle name="Currency" xfId="1" builtinId="4"/>
    <cellStyle name="Followed Hyperlink" xfId="6" builtinId="9" hidden="1"/>
    <cellStyle name="Followed Hyperlink" xfId="4" builtinId="9" hidden="1"/>
    <cellStyle name="Followed Hyperlink" xfId="8" builtinId="9" hidden="1"/>
    <cellStyle name="Hyperlink" xfId="5" builtinId="8" hidden="1"/>
    <cellStyle name="Hyperlink" xfId="3" builtinId="8" hidden="1"/>
    <cellStyle name="Hyperlink" xfId="7" builtinId="8" hidden="1"/>
    <cellStyle name="Normal" xfId="0" builtinId="0"/>
    <cellStyle name="Percent" xfId="2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292100</xdr:colOff>
          <xdr:row>1</xdr:row>
          <xdr:rowOff>139700</xdr:rowOff>
        </xdr:from>
        <xdr:to>
          <xdr:col>4</xdr:col>
          <xdr:colOff>1206500</xdr:colOff>
          <xdr:row>6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Calculate Payment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Lucida Grande"/>
                <a:ea typeface="Lucida Grande"/>
                <a:cs typeface="Lucida Grande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K369"/>
  <sheetViews>
    <sheetView tabSelected="1" workbookViewId="0">
      <selection activeCell="F9" sqref="F9"/>
    </sheetView>
  </sheetViews>
  <sheetFormatPr baseColWidth="10" defaultColWidth="11" defaultRowHeight="15" x14ac:dyDescent="0"/>
  <cols>
    <col min="2" max="2" width="6.83203125" customWidth="1"/>
    <col min="3" max="3" width="18" customWidth="1"/>
    <col min="4" max="4" width="19.6640625" customWidth="1"/>
    <col min="5" max="5" width="19" customWidth="1"/>
    <col min="6" max="6" width="18.6640625" customWidth="1"/>
    <col min="7" max="7" width="13" customWidth="1"/>
    <col min="8" max="8" width="4.6640625" customWidth="1"/>
    <col min="9" max="9" width="5.6640625" customWidth="1"/>
    <col min="10" max="10" width="13.83203125" customWidth="1"/>
  </cols>
  <sheetData>
    <row r="1" spans="2:11">
      <c r="D1" s="17" t="s">
        <v>14</v>
      </c>
      <c r="E1" t="s">
        <v>15</v>
      </c>
    </row>
    <row r="2" spans="2:11">
      <c r="B2" t="s">
        <v>0</v>
      </c>
    </row>
    <row r="3" spans="2:11" ht="16" thickBot="1">
      <c r="C3" t="s">
        <v>1</v>
      </c>
      <c r="D3" s="13">
        <v>250000</v>
      </c>
    </row>
    <row r="4" spans="2:11">
      <c r="C4" t="s">
        <v>2</v>
      </c>
      <c r="D4" s="14">
        <v>0.04</v>
      </c>
      <c r="F4" s="3" t="s">
        <v>3</v>
      </c>
      <c r="G4" s="4">
        <f ca="1">OFFSET(D8,D5*12,0,1,1)</f>
        <v>-8.0012796388473362E-10</v>
      </c>
      <c r="J4" t="s">
        <v>4</v>
      </c>
      <c r="K4" s="10">
        <f ca="1">SUM(E9:OFFSET(E8,D5*12,0,1,1))</f>
        <v>113063.12746690138</v>
      </c>
    </row>
    <row r="5" spans="2:11">
      <c r="C5" t="s">
        <v>5</v>
      </c>
      <c r="D5" s="15">
        <v>20</v>
      </c>
      <c r="F5" s="5" t="s">
        <v>6</v>
      </c>
      <c r="G5" s="6"/>
      <c r="J5" t="s">
        <v>7</v>
      </c>
      <c r="K5" s="12">
        <f ca="1">K4/(1+K6/12)^(D5*12)</f>
        <v>62096.837717174509</v>
      </c>
    </row>
    <row r="6" spans="2:11" ht="16" thickBot="1">
      <c r="C6" t="s">
        <v>8</v>
      </c>
      <c r="D6" s="16">
        <v>42125</v>
      </c>
      <c r="F6" s="7">
        <v>1519.0925835435237</v>
      </c>
      <c r="G6" s="8"/>
      <c r="J6" t="s">
        <v>9</v>
      </c>
      <c r="K6" s="11">
        <v>0.03</v>
      </c>
    </row>
    <row r="8" spans="2:11">
      <c r="C8" t="s">
        <v>10</v>
      </c>
      <c r="D8" t="s">
        <v>11</v>
      </c>
      <c r="E8" t="s">
        <v>12</v>
      </c>
      <c r="F8" t="s">
        <v>13</v>
      </c>
    </row>
    <row r="9" spans="2:11">
      <c r="B9">
        <v>1</v>
      </c>
      <c r="C9" s="2">
        <f>DATE(YEAR(D6),MONTH(D6),DAY(D6))</f>
        <v>42125</v>
      </c>
      <c r="D9" s="9">
        <f>D3</f>
        <v>250000</v>
      </c>
      <c r="E9" s="9">
        <f>D9*D$4/12</f>
        <v>833.33333333333337</v>
      </c>
      <c r="F9" s="9">
        <f>F$6-E9</f>
        <v>685.75925021019032</v>
      </c>
    </row>
    <row r="10" spans="2:11">
      <c r="B10">
        <f>B9+1</f>
        <v>2</v>
      </c>
      <c r="C10" s="1">
        <f>DATE(YEAR(C9),MONTH(C9)+1,DAY(C9))</f>
        <v>42156</v>
      </c>
      <c r="D10" s="9">
        <f>D9-F9</f>
        <v>249314.24074978981</v>
      </c>
      <c r="E10" s="9">
        <f>D10*D$4/12</f>
        <v>831.04746916596605</v>
      </c>
      <c r="F10" s="9">
        <f>F$6-E10</f>
        <v>688.04511437755764</v>
      </c>
    </row>
    <row r="11" spans="2:11">
      <c r="B11">
        <f t="shared" ref="B11:B74" si="0">B10+1</f>
        <v>3</v>
      </c>
      <c r="C11" s="1">
        <f t="shared" ref="C11:C74" si="1">DATE(YEAR(C10),MONTH(C10)+1,DAY(C10))</f>
        <v>42186</v>
      </c>
      <c r="D11" s="9">
        <f t="shared" ref="D11:D74" si="2">D10-F10</f>
        <v>248626.19563541224</v>
      </c>
      <c r="E11" s="9">
        <f t="shared" ref="E11:E74" si="3">D11*D$4/12</f>
        <v>828.75398545137421</v>
      </c>
      <c r="F11" s="9">
        <f t="shared" ref="F11:F74" si="4">F$6-E11</f>
        <v>690.33859809214948</v>
      </c>
    </row>
    <row r="12" spans="2:11">
      <c r="B12">
        <f t="shared" si="0"/>
        <v>4</v>
      </c>
      <c r="C12" s="1">
        <f t="shared" si="1"/>
        <v>42217</v>
      </c>
      <c r="D12" s="9">
        <f t="shared" si="2"/>
        <v>247935.85703732009</v>
      </c>
      <c r="E12" s="9">
        <f t="shared" si="3"/>
        <v>826.45285679106701</v>
      </c>
      <c r="F12" s="9">
        <f t="shared" si="4"/>
        <v>692.63972675245668</v>
      </c>
    </row>
    <row r="13" spans="2:11">
      <c r="B13">
        <f t="shared" si="0"/>
        <v>5</v>
      </c>
      <c r="C13" s="1">
        <f t="shared" si="1"/>
        <v>42248</v>
      </c>
      <c r="D13" s="9">
        <f t="shared" si="2"/>
        <v>247243.21731056765</v>
      </c>
      <c r="E13" s="9">
        <f t="shared" si="3"/>
        <v>824.14405770189217</v>
      </c>
      <c r="F13" s="9">
        <f t="shared" si="4"/>
        <v>694.94852584163152</v>
      </c>
    </row>
    <row r="14" spans="2:11">
      <c r="B14">
        <f t="shared" si="0"/>
        <v>6</v>
      </c>
      <c r="C14" s="1">
        <f t="shared" si="1"/>
        <v>42278</v>
      </c>
      <c r="D14" s="9">
        <f t="shared" si="2"/>
        <v>246548.26878472601</v>
      </c>
      <c r="E14" s="9">
        <f t="shared" si="3"/>
        <v>821.82756261575332</v>
      </c>
      <c r="F14" s="9">
        <f t="shared" si="4"/>
        <v>697.26502092777037</v>
      </c>
    </row>
    <row r="15" spans="2:11">
      <c r="B15">
        <f t="shared" si="0"/>
        <v>7</v>
      </c>
      <c r="C15" s="1">
        <f t="shared" si="1"/>
        <v>42309</v>
      </c>
      <c r="D15" s="9">
        <f t="shared" si="2"/>
        <v>245851.00376379825</v>
      </c>
      <c r="E15" s="9">
        <f t="shared" si="3"/>
        <v>819.50334587932741</v>
      </c>
      <c r="F15" s="9">
        <f t="shared" si="4"/>
        <v>699.58923766419628</v>
      </c>
    </row>
    <row r="16" spans="2:11">
      <c r="B16">
        <f t="shared" si="0"/>
        <v>8</v>
      </c>
      <c r="C16" s="1">
        <f t="shared" si="1"/>
        <v>42339</v>
      </c>
      <c r="D16" s="9">
        <f t="shared" si="2"/>
        <v>245151.41452613406</v>
      </c>
      <c r="E16" s="9">
        <f t="shared" si="3"/>
        <v>817.17138175378022</v>
      </c>
      <c r="F16" s="9">
        <f t="shared" si="4"/>
        <v>701.92120178974346</v>
      </c>
    </row>
    <row r="17" spans="2:6">
      <c r="B17">
        <f t="shared" si="0"/>
        <v>9</v>
      </c>
      <c r="C17" s="1">
        <f t="shared" si="1"/>
        <v>42370</v>
      </c>
      <c r="D17" s="9">
        <f t="shared" si="2"/>
        <v>244449.49332434431</v>
      </c>
      <c r="E17" s="9">
        <f t="shared" si="3"/>
        <v>814.83164441448105</v>
      </c>
      <c r="F17" s="9">
        <f t="shared" si="4"/>
        <v>704.26093912904264</v>
      </c>
    </row>
    <row r="18" spans="2:6">
      <c r="B18">
        <f t="shared" si="0"/>
        <v>10</v>
      </c>
      <c r="C18" s="1">
        <f t="shared" si="1"/>
        <v>42401</v>
      </c>
      <c r="D18" s="9">
        <f t="shared" si="2"/>
        <v>243745.23238521526</v>
      </c>
      <c r="E18" s="9">
        <f t="shared" si="3"/>
        <v>812.48410795071766</v>
      </c>
      <c r="F18" s="9">
        <f t="shared" si="4"/>
        <v>706.60847559280603</v>
      </c>
    </row>
    <row r="19" spans="2:6">
      <c r="B19">
        <f t="shared" si="0"/>
        <v>11</v>
      </c>
      <c r="C19" s="1">
        <f t="shared" si="1"/>
        <v>42430</v>
      </c>
      <c r="D19" s="9">
        <f t="shared" si="2"/>
        <v>243038.62390962246</v>
      </c>
      <c r="E19" s="9">
        <f t="shared" si="3"/>
        <v>810.12874636540812</v>
      </c>
      <c r="F19" s="9">
        <f t="shared" si="4"/>
        <v>708.96383717811557</v>
      </c>
    </row>
    <row r="20" spans="2:6">
      <c r="B20">
        <f t="shared" si="0"/>
        <v>12</v>
      </c>
      <c r="C20" s="1">
        <f t="shared" si="1"/>
        <v>42461</v>
      </c>
      <c r="D20" s="9">
        <f t="shared" si="2"/>
        <v>242329.66007244436</v>
      </c>
      <c r="E20" s="9">
        <f t="shared" si="3"/>
        <v>807.76553357481453</v>
      </c>
      <c r="F20" s="9">
        <f t="shared" si="4"/>
        <v>711.32704996870916</v>
      </c>
    </row>
    <row r="21" spans="2:6">
      <c r="B21">
        <f t="shared" si="0"/>
        <v>13</v>
      </c>
      <c r="C21" s="1">
        <f t="shared" si="1"/>
        <v>42491</v>
      </c>
      <c r="D21" s="9">
        <f t="shared" si="2"/>
        <v>241618.33302247565</v>
      </c>
      <c r="E21" s="9">
        <f t="shared" si="3"/>
        <v>805.39444340825219</v>
      </c>
      <c r="F21" s="9">
        <f t="shared" si="4"/>
        <v>713.6981401352715</v>
      </c>
    </row>
    <row r="22" spans="2:6">
      <c r="B22">
        <f t="shared" si="0"/>
        <v>14</v>
      </c>
      <c r="C22" s="1">
        <f t="shared" si="1"/>
        <v>42522</v>
      </c>
      <c r="D22" s="9">
        <f t="shared" si="2"/>
        <v>240904.63488234038</v>
      </c>
      <c r="E22" s="9">
        <f t="shared" si="3"/>
        <v>803.01544960780132</v>
      </c>
      <c r="F22" s="9">
        <f t="shared" si="4"/>
        <v>716.07713393572237</v>
      </c>
    </row>
    <row r="23" spans="2:6">
      <c r="B23">
        <f t="shared" si="0"/>
        <v>15</v>
      </c>
      <c r="C23" s="1">
        <f t="shared" si="1"/>
        <v>42552</v>
      </c>
      <c r="D23" s="9">
        <f t="shared" si="2"/>
        <v>240188.55774840465</v>
      </c>
      <c r="E23" s="9">
        <f t="shared" si="3"/>
        <v>800.62852582801554</v>
      </c>
      <c r="F23" s="9">
        <f t="shared" si="4"/>
        <v>718.46405771550815</v>
      </c>
    </row>
    <row r="24" spans="2:6">
      <c r="B24">
        <f t="shared" si="0"/>
        <v>16</v>
      </c>
      <c r="C24" s="1">
        <f t="shared" si="1"/>
        <v>42583</v>
      </c>
      <c r="D24" s="9">
        <f t="shared" si="2"/>
        <v>239470.09369068913</v>
      </c>
      <c r="E24" s="9">
        <f t="shared" si="3"/>
        <v>798.23364563563052</v>
      </c>
      <c r="F24" s="9">
        <f t="shared" si="4"/>
        <v>720.85893790789316</v>
      </c>
    </row>
    <row r="25" spans="2:6">
      <c r="B25">
        <f t="shared" si="0"/>
        <v>17</v>
      </c>
      <c r="C25" s="1">
        <f t="shared" si="1"/>
        <v>42614</v>
      </c>
      <c r="D25" s="9">
        <f t="shared" si="2"/>
        <v>238749.23475278122</v>
      </c>
      <c r="E25" s="9">
        <f t="shared" si="3"/>
        <v>795.83078250927076</v>
      </c>
      <c r="F25" s="9">
        <f t="shared" si="4"/>
        <v>723.26180103425293</v>
      </c>
    </row>
    <row r="26" spans="2:6">
      <c r="B26">
        <f t="shared" si="0"/>
        <v>18</v>
      </c>
      <c r="C26" s="1">
        <f t="shared" si="1"/>
        <v>42644</v>
      </c>
      <c r="D26" s="9">
        <f t="shared" si="2"/>
        <v>238025.97295174698</v>
      </c>
      <c r="E26" s="9">
        <f t="shared" si="3"/>
        <v>793.41990983915673</v>
      </c>
      <c r="F26" s="9">
        <f t="shared" si="4"/>
        <v>725.67267370436696</v>
      </c>
    </row>
    <row r="27" spans="2:6">
      <c r="B27">
        <f t="shared" si="0"/>
        <v>19</v>
      </c>
      <c r="C27" s="1">
        <f t="shared" si="1"/>
        <v>42675</v>
      </c>
      <c r="D27" s="9">
        <f t="shared" si="2"/>
        <v>237300.30027804262</v>
      </c>
      <c r="E27" s="9">
        <f t="shared" si="3"/>
        <v>791.00100092680884</v>
      </c>
      <c r="F27" s="9">
        <f t="shared" si="4"/>
        <v>728.09158261671485</v>
      </c>
    </row>
    <row r="28" spans="2:6">
      <c r="B28">
        <f t="shared" si="0"/>
        <v>20</v>
      </c>
      <c r="C28" s="1">
        <f t="shared" si="1"/>
        <v>42705</v>
      </c>
      <c r="D28" s="9">
        <f t="shared" si="2"/>
        <v>236572.20869542591</v>
      </c>
      <c r="E28" s="9">
        <f t="shared" si="3"/>
        <v>788.57402898475311</v>
      </c>
      <c r="F28" s="9">
        <f t="shared" si="4"/>
        <v>730.51855455877057</v>
      </c>
    </row>
    <row r="29" spans="2:6">
      <c r="B29">
        <f t="shared" si="0"/>
        <v>21</v>
      </c>
      <c r="C29" s="1">
        <f t="shared" si="1"/>
        <v>42736</v>
      </c>
      <c r="D29" s="9">
        <f t="shared" si="2"/>
        <v>235841.69014086714</v>
      </c>
      <c r="E29" s="9">
        <f t="shared" si="3"/>
        <v>786.13896713622387</v>
      </c>
      <c r="F29" s="9">
        <f t="shared" si="4"/>
        <v>732.95361640729982</v>
      </c>
    </row>
    <row r="30" spans="2:6">
      <c r="B30">
        <f t="shared" si="0"/>
        <v>22</v>
      </c>
      <c r="C30" s="1">
        <f t="shared" si="1"/>
        <v>42767</v>
      </c>
      <c r="D30" s="9">
        <f t="shared" si="2"/>
        <v>235108.73652445985</v>
      </c>
      <c r="E30" s="9">
        <f t="shared" si="3"/>
        <v>783.69578841486612</v>
      </c>
      <c r="F30" s="9">
        <f t="shared" si="4"/>
        <v>735.39679512865757</v>
      </c>
    </row>
    <row r="31" spans="2:6">
      <c r="B31">
        <f t="shared" si="0"/>
        <v>23</v>
      </c>
      <c r="C31" s="1">
        <f t="shared" si="1"/>
        <v>42795</v>
      </c>
      <c r="D31" s="9">
        <f t="shared" si="2"/>
        <v>234373.3397293312</v>
      </c>
      <c r="E31" s="9">
        <f t="shared" si="3"/>
        <v>781.24446576443734</v>
      </c>
      <c r="F31" s="9">
        <f t="shared" si="4"/>
        <v>737.84811777908635</v>
      </c>
    </row>
    <row r="32" spans="2:6">
      <c r="B32">
        <f t="shared" si="0"/>
        <v>24</v>
      </c>
      <c r="C32" s="1">
        <f t="shared" si="1"/>
        <v>42826</v>
      </c>
      <c r="D32" s="9">
        <f t="shared" si="2"/>
        <v>233635.4916115521</v>
      </c>
      <c r="E32" s="9">
        <f t="shared" si="3"/>
        <v>778.78497203850702</v>
      </c>
      <c r="F32" s="9">
        <f t="shared" si="4"/>
        <v>740.30761150501667</v>
      </c>
    </row>
    <row r="33" spans="2:6">
      <c r="B33">
        <f t="shared" si="0"/>
        <v>25</v>
      </c>
      <c r="C33" s="1">
        <f t="shared" si="1"/>
        <v>42856</v>
      </c>
      <c r="D33" s="9">
        <f t="shared" si="2"/>
        <v>232895.1840000471</v>
      </c>
      <c r="E33" s="9">
        <f t="shared" si="3"/>
        <v>776.31728000015698</v>
      </c>
      <c r="F33" s="9">
        <f t="shared" si="4"/>
        <v>742.7753035433667</v>
      </c>
    </row>
    <row r="34" spans="2:6">
      <c r="B34">
        <f t="shared" si="0"/>
        <v>26</v>
      </c>
      <c r="C34" s="1">
        <f t="shared" si="1"/>
        <v>42887</v>
      </c>
      <c r="D34" s="9">
        <f t="shared" si="2"/>
        <v>232152.40869650373</v>
      </c>
      <c r="E34" s="9">
        <f t="shared" si="3"/>
        <v>773.84136232167918</v>
      </c>
      <c r="F34" s="9">
        <f t="shared" si="4"/>
        <v>745.2512212218445</v>
      </c>
    </row>
    <row r="35" spans="2:6">
      <c r="B35">
        <f t="shared" si="0"/>
        <v>27</v>
      </c>
      <c r="C35" s="1">
        <f t="shared" si="1"/>
        <v>42917</v>
      </c>
      <c r="D35" s="9">
        <f t="shared" si="2"/>
        <v>231407.15747528189</v>
      </c>
      <c r="E35" s="9">
        <f t="shared" si="3"/>
        <v>771.35719158427298</v>
      </c>
      <c r="F35" s="9">
        <f t="shared" si="4"/>
        <v>747.73539195925071</v>
      </c>
    </row>
    <row r="36" spans="2:6">
      <c r="B36">
        <f t="shared" si="0"/>
        <v>28</v>
      </c>
      <c r="C36" s="1">
        <f t="shared" si="1"/>
        <v>42948</v>
      </c>
      <c r="D36" s="9">
        <f t="shared" si="2"/>
        <v>230659.42208332263</v>
      </c>
      <c r="E36" s="9">
        <f t="shared" si="3"/>
        <v>768.86474027774204</v>
      </c>
      <c r="F36" s="9">
        <f t="shared" si="4"/>
        <v>750.22784326578164</v>
      </c>
    </row>
    <row r="37" spans="2:6">
      <c r="B37">
        <f t="shared" si="0"/>
        <v>29</v>
      </c>
      <c r="C37" s="1">
        <f t="shared" si="1"/>
        <v>42979</v>
      </c>
      <c r="D37" s="9">
        <f t="shared" si="2"/>
        <v>229909.19424005685</v>
      </c>
      <c r="E37" s="9">
        <f t="shared" si="3"/>
        <v>766.36398080018955</v>
      </c>
      <c r="F37" s="9">
        <f t="shared" si="4"/>
        <v>752.72860274333414</v>
      </c>
    </row>
    <row r="38" spans="2:6">
      <c r="B38">
        <f t="shared" si="0"/>
        <v>30</v>
      </c>
      <c r="C38" s="1">
        <f t="shared" si="1"/>
        <v>43009</v>
      </c>
      <c r="D38" s="9">
        <f t="shared" si="2"/>
        <v>229156.46563731352</v>
      </c>
      <c r="E38" s="9">
        <f t="shared" si="3"/>
        <v>763.8548854577117</v>
      </c>
      <c r="F38" s="9">
        <f t="shared" si="4"/>
        <v>755.23769808581199</v>
      </c>
    </row>
    <row r="39" spans="2:6">
      <c r="B39">
        <f t="shared" si="0"/>
        <v>31</v>
      </c>
      <c r="C39" s="1">
        <f t="shared" si="1"/>
        <v>43040</v>
      </c>
      <c r="D39" s="9">
        <f t="shared" si="2"/>
        <v>228401.22793922771</v>
      </c>
      <c r="E39" s="9">
        <f t="shared" si="3"/>
        <v>761.33742646409246</v>
      </c>
      <c r="F39" s="9">
        <f t="shared" si="4"/>
        <v>757.75515707943123</v>
      </c>
    </row>
    <row r="40" spans="2:6">
      <c r="B40">
        <f t="shared" si="0"/>
        <v>32</v>
      </c>
      <c r="C40" s="1">
        <f t="shared" si="1"/>
        <v>43070</v>
      </c>
      <c r="D40" s="9">
        <f t="shared" si="2"/>
        <v>227643.47278214828</v>
      </c>
      <c r="E40" s="9">
        <f t="shared" si="3"/>
        <v>758.81157594049421</v>
      </c>
      <c r="F40" s="9">
        <f t="shared" si="4"/>
        <v>760.28100760302948</v>
      </c>
    </row>
    <row r="41" spans="2:6">
      <c r="B41">
        <f t="shared" si="0"/>
        <v>33</v>
      </c>
      <c r="C41" s="1">
        <f t="shared" si="1"/>
        <v>43101</v>
      </c>
      <c r="D41" s="9">
        <f t="shared" si="2"/>
        <v>226883.19177454524</v>
      </c>
      <c r="E41" s="9">
        <f t="shared" si="3"/>
        <v>756.27730591515081</v>
      </c>
      <c r="F41" s="9">
        <f t="shared" si="4"/>
        <v>762.81527762837288</v>
      </c>
    </row>
    <row r="42" spans="2:6">
      <c r="B42">
        <f t="shared" si="0"/>
        <v>34</v>
      </c>
      <c r="C42" s="1">
        <f t="shared" si="1"/>
        <v>43132</v>
      </c>
      <c r="D42" s="9">
        <f t="shared" si="2"/>
        <v>226120.37649691687</v>
      </c>
      <c r="E42" s="9">
        <f t="shared" si="3"/>
        <v>753.7345883230563</v>
      </c>
      <c r="F42" s="9">
        <f t="shared" si="4"/>
        <v>765.35799522046739</v>
      </c>
    </row>
    <row r="43" spans="2:6">
      <c r="B43">
        <f t="shared" si="0"/>
        <v>35</v>
      </c>
      <c r="C43" s="1">
        <f t="shared" si="1"/>
        <v>43160</v>
      </c>
      <c r="D43" s="9">
        <f t="shared" si="2"/>
        <v>225355.01850169641</v>
      </c>
      <c r="E43" s="9">
        <f t="shared" si="3"/>
        <v>751.18339500565469</v>
      </c>
      <c r="F43" s="9">
        <f t="shared" si="4"/>
        <v>767.909188537869</v>
      </c>
    </row>
    <row r="44" spans="2:6">
      <c r="B44">
        <f t="shared" si="0"/>
        <v>36</v>
      </c>
      <c r="C44" s="1">
        <f t="shared" si="1"/>
        <v>43191</v>
      </c>
      <c r="D44" s="9">
        <f t="shared" si="2"/>
        <v>224587.10931315855</v>
      </c>
      <c r="E44" s="9">
        <f t="shared" si="3"/>
        <v>748.62369771052852</v>
      </c>
      <c r="F44" s="9">
        <f t="shared" si="4"/>
        <v>770.46888583299517</v>
      </c>
    </row>
    <row r="45" spans="2:6">
      <c r="B45">
        <f t="shared" si="0"/>
        <v>37</v>
      </c>
      <c r="C45" s="1">
        <f t="shared" si="1"/>
        <v>43221</v>
      </c>
      <c r="D45" s="9">
        <f t="shared" si="2"/>
        <v>223816.64042732556</v>
      </c>
      <c r="E45" s="9">
        <f t="shared" si="3"/>
        <v>746.05546809108512</v>
      </c>
      <c r="F45" s="9">
        <f t="shared" si="4"/>
        <v>773.03711545243857</v>
      </c>
    </row>
    <row r="46" spans="2:6">
      <c r="B46">
        <f t="shared" si="0"/>
        <v>38</v>
      </c>
      <c r="C46" s="1">
        <f t="shared" si="1"/>
        <v>43252</v>
      </c>
      <c r="D46" s="9">
        <f t="shared" si="2"/>
        <v>223043.60331187313</v>
      </c>
      <c r="E46" s="9">
        <f t="shared" si="3"/>
        <v>743.47867770624373</v>
      </c>
      <c r="F46" s="9">
        <f t="shared" si="4"/>
        <v>775.61390583727996</v>
      </c>
    </row>
    <row r="47" spans="2:6">
      <c r="B47">
        <f t="shared" si="0"/>
        <v>39</v>
      </c>
      <c r="C47" s="1">
        <f t="shared" si="1"/>
        <v>43282</v>
      </c>
      <c r="D47" s="9">
        <f t="shared" si="2"/>
        <v>222267.98940603583</v>
      </c>
      <c r="E47" s="9">
        <f t="shared" si="3"/>
        <v>740.89329802011946</v>
      </c>
      <c r="F47" s="9">
        <f t="shared" si="4"/>
        <v>778.19928552340423</v>
      </c>
    </row>
    <row r="48" spans="2:6">
      <c r="B48">
        <f t="shared" si="0"/>
        <v>40</v>
      </c>
      <c r="C48" s="1">
        <f t="shared" si="1"/>
        <v>43313</v>
      </c>
      <c r="D48" s="9">
        <f t="shared" si="2"/>
        <v>221489.79012051242</v>
      </c>
      <c r="E48" s="9">
        <f t="shared" si="3"/>
        <v>738.29930040170802</v>
      </c>
      <c r="F48" s="9">
        <f t="shared" si="4"/>
        <v>780.79328314181566</v>
      </c>
    </row>
    <row r="49" spans="2:6">
      <c r="B49">
        <f t="shared" si="0"/>
        <v>41</v>
      </c>
      <c r="C49" s="1">
        <f t="shared" si="1"/>
        <v>43344</v>
      </c>
      <c r="D49" s="9">
        <f t="shared" si="2"/>
        <v>220708.99683737059</v>
      </c>
      <c r="E49" s="9">
        <f t="shared" si="3"/>
        <v>735.69665612456868</v>
      </c>
      <c r="F49" s="9">
        <f t="shared" si="4"/>
        <v>783.39592741895501</v>
      </c>
    </row>
    <row r="50" spans="2:6">
      <c r="B50">
        <f t="shared" si="0"/>
        <v>42</v>
      </c>
      <c r="C50" s="1">
        <f t="shared" si="1"/>
        <v>43374</v>
      </c>
      <c r="D50" s="9">
        <f t="shared" si="2"/>
        <v>219925.60090995164</v>
      </c>
      <c r="E50" s="9">
        <f t="shared" si="3"/>
        <v>733.08533636650554</v>
      </c>
      <c r="F50" s="9">
        <f t="shared" si="4"/>
        <v>786.00724717701814</v>
      </c>
    </row>
    <row r="51" spans="2:6">
      <c r="B51">
        <f t="shared" si="0"/>
        <v>43</v>
      </c>
      <c r="C51" s="1">
        <f t="shared" si="1"/>
        <v>43405</v>
      </c>
      <c r="D51" s="9">
        <f t="shared" si="2"/>
        <v>219139.59366277463</v>
      </c>
      <c r="E51" s="9">
        <f t="shared" si="3"/>
        <v>730.46531220924874</v>
      </c>
      <c r="F51" s="9">
        <f t="shared" si="4"/>
        <v>788.62727133427495</v>
      </c>
    </row>
    <row r="52" spans="2:6">
      <c r="B52">
        <f t="shared" si="0"/>
        <v>44</v>
      </c>
      <c r="C52" s="1">
        <f t="shared" si="1"/>
        <v>43435</v>
      </c>
      <c r="D52" s="9">
        <f t="shared" si="2"/>
        <v>218350.96639144036</v>
      </c>
      <c r="E52" s="9">
        <f t="shared" si="3"/>
        <v>727.83655463813454</v>
      </c>
      <c r="F52" s="9">
        <f t="shared" si="4"/>
        <v>791.25602890538914</v>
      </c>
    </row>
    <row r="53" spans="2:6">
      <c r="B53">
        <f t="shared" si="0"/>
        <v>45</v>
      </c>
      <c r="C53" s="1">
        <f t="shared" si="1"/>
        <v>43466</v>
      </c>
      <c r="D53" s="9">
        <f t="shared" si="2"/>
        <v>217559.71036253497</v>
      </c>
      <c r="E53" s="9">
        <f t="shared" si="3"/>
        <v>725.19903454178313</v>
      </c>
      <c r="F53" s="9">
        <f t="shared" si="4"/>
        <v>793.89354900174055</v>
      </c>
    </row>
    <row r="54" spans="2:6">
      <c r="B54">
        <f t="shared" si="0"/>
        <v>46</v>
      </c>
      <c r="C54" s="1">
        <f t="shared" si="1"/>
        <v>43497</v>
      </c>
      <c r="D54" s="9">
        <f t="shared" si="2"/>
        <v>216765.81681353322</v>
      </c>
      <c r="E54" s="9">
        <f t="shared" si="3"/>
        <v>722.55272271177739</v>
      </c>
      <c r="F54" s="9">
        <f t="shared" si="4"/>
        <v>796.5398608317463</v>
      </c>
    </row>
    <row r="55" spans="2:6">
      <c r="B55">
        <f t="shared" si="0"/>
        <v>47</v>
      </c>
      <c r="C55" s="1">
        <f t="shared" si="1"/>
        <v>43525</v>
      </c>
      <c r="D55" s="9">
        <f t="shared" si="2"/>
        <v>215969.27695270148</v>
      </c>
      <c r="E55" s="9">
        <f t="shared" si="3"/>
        <v>719.89758984233822</v>
      </c>
      <c r="F55" s="9">
        <f t="shared" si="4"/>
        <v>799.19499370118547</v>
      </c>
    </row>
    <row r="56" spans="2:6">
      <c r="B56">
        <f t="shared" si="0"/>
        <v>48</v>
      </c>
      <c r="C56" s="1">
        <f t="shared" si="1"/>
        <v>43556</v>
      </c>
      <c r="D56" s="9">
        <f t="shared" si="2"/>
        <v>215170.08195900029</v>
      </c>
      <c r="E56" s="9">
        <f t="shared" si="3"/>
        <v>717.233606530001</v>
      </c>
      <c r="F56" s="9">
        <f t="shared" si="4"/>
        <v>801.85897701352269</v>
      </c>
    </row>
    <row r="57" spans="2:6">
      <c r="B57">
        <f t="shared" si="0"/>
        <v>49</v>
      </c>
      <c r="C57" s="1">
        <f t="shared" si="1"/>
        <v>43586</v>
      </c>
      <c r="D57" s="9">
        <f t="shared" si="2"/>
        <v>214368.22298198676</v>
      </c>
      <c r="E57" s="9">
        <f t="shared" si="3"/>
        <v>714.56074327328918</v>
      </c>
      <c r="F57" s="9">
        <f t="shared" si="4"/>
        <v>804.53184027023451</v>
      </c>
    </row>
    <row r="58" spans="2:6">
      <c r="B58">
        <f t="shared" si="0"/>
        <v>50</v>
      </c>
      <c r="C58" s="1">
        <f t="shared" si="1"/>
        <v>43617</v>
      </c>
      <c r="D58" s="9">
        <f t="shared" si="2"/>
        <v>213563.69114171652</v>
      </c>
      <c r="E58" s="9">
        <f t="shared" si="3"/>
        <v>711.87897047238846</v>
      </c>
      <c r="F58" s="9">
        <f t="shared" si="4"/>
        <v>807.21361307113523</v>
      </c>
    </row>
    <row r="59" spans="2:6">
      <c r="B59">
        <f t="shared" si="0"/>
        <v>51</v>
      </c>
      <c r="C59" s="1">
        <f t="shared" si="1"/>
        <v>43647</v>
      </c>
      <c r="D59" s="9">
        <f t="shared" si="2"/>
        <v>212756.4775286454</v>
      </c>
      <c r="E59" s="9">
        <f t="shared" si="3"/>
        <v>709.1882584288179</v>
      </c>
      <c r="F59" s="9">
        <f t="shared" si="4"/>
        <v>809.90432511470578</v>
      </c>
    </row>
    <row r="60" spans="2:6">
      <c r="B60">
        <f t="shared" si="0"/>
        <v>52</v>
      </c>
      <c r="C60" s="1">
        <f t="shared" si="1"/>
        <v>43678</v>
      </c>
      <c r="D60" s="9">
        <f t="shared" si="2"/>
        <v>211946.57320353069</v>
      </c>
      <c r="E60" s="9">
        <f t="shared" si="3"/>
        <v>706.48857734510227</v>
      </c>
      <c r="F60" s="9">
        <f t="shared" si="4"/>
        <v>812.60400619842142</v>
      </c>
    </row>
    <row r="61" spans="2:6">
      <c r="B61">
        <f t="shared" si="0"/>
        <v>53</v>
      </c>
      <c r="C61" s="1">
        <f t="shared" si="1"/>
        <v>43709</v>
      </c>
      <c r="D61" s="9">
        <f t="shared" si="2"/>
        <v>211133.96919733228</v>
      </c>
      <c r="E61" s="9">
        <f t="shared" si="3"/>
        <v>703.77989732444087</v>
      </c>
      <c r="F61" s="9">
        <f t="shared" si="4"/>
        <v>815.31268621908282</v>
      </c>
    </row>
    <row r="62" spans="2:6">
      <c r="B62">
        <f t="shared" si="0"/>
        <v>54</v>
      </c>
      <c r="C62" s="1">
        <f t="shared" si="1"/>
        <v>43739</v>
      </c>
      <c r="D62" s="9">
        <f t="shared" si="2"/>
        <v>210318.65651111319</v>
      </c>
      <c r="E62" s="9">
        <f t="shared" si="3"/>
        <v>701.06218837037738</v>
      </c>
      <c r="F62" s="9">
        <f t="shared" si="4"/>
        <v>818.0303951731463</v>
      </c>
    </row>
    <row r="63" spans="2:6">
      <c r="B63">
        <f t="shared" si="0"/>
        <v>55</v>
      </c>
      <c r="C63" s="1">
        <f t="shared" si="1"/>
        <v>43770</v>
      </c>
      <c r="D63" s="9">
        <f t="shared" si="2"/>
        <v>209500.62611594005</v>
      </c>
      <c r="E63" s="9">
        <f t="shared" si="3"/>
        <v>698.33542038646681</v>
      </c>
      <c r="F63" s="9">
        <f t="shared" si="4"/>
        <v>820.75716315705688</v>
      </c>
    </row>
    <row r="64" spans="2:6">
      <c r="B64">
        <f t="shared" si="0"/>
        <v>56</v>
      </c>
      <c r="C64" s="1">
        <f t="shared" si="1"/>
        <v>43800</v>
      </c>
      <c r="D64" s="9">
        <f t="shared" si="2"/>
        <v>208679.868952783</v>
      </c>
      <c r="E64" s="9">
        <f t="shared" si="3"/>
        <v>695.59956317594333</v>
      </c>
      <c r="F64" s="9">
        <f t="shared" si="4"/>
        <v>823.49302036758036</v>
      </c>
    </row>
    <row r="65" spans="2:6">
      <c r="B65">
        <f t="shared" si="0"/>
        <v>57</v>
      </c>
      <c r="C65" s="1">
        <f t="shared" si="1"/>
        <v>43831</v>
      </c>
      <c r="D65" s="9">
        <f t="shared" si="2"/>
        <v>207856.37593241542</v>
      </c>
      <c r="E65" s="9">
        <f t="shared" si="3"/>
        <v>692.85458644138487</v>
      </c>
      <c r="F65" s="9">
        <f t="shared" si="4"/>
        <v>826.23799710213882</v>
      </c>
    </row>
    <row r="66" spans="2:6">
      <c r="B66">
        <f t="shared" si="0"/>
        <v>58</v>
      </c>
      <c r="C66" s="1">
        <f t="shared" si="1"/>
        <v>43862</v>
      </c>
      <c r="D66" s="9">
        <f t="shared" si="2"/>
        <v>207030.13793531328</v>
      </c>
      <c r="E66" s="9">
        <f t="shared" si="3"/>
        <v>690.10045978437756</v>
      </c>
      <c r="F66" s="9">
        <f t="shared" si="4"/>
        <v>828.99212375914612</v>
      </c>
    </row>
    <row r="67" spans="2:6">
      <c r="B67">
        <f t="shared" si="0"/>
        <v>59</v>
      </c>
      <c r="C67" s="1">
        <f t="shared" si="1"/>
        <v>43891</v>
      </c>
      <c r="D67" s="9">
        <f t="shared" si="2"/>
        <v>206201.14581155413</v>
      </c>
      <c r="E67" s="9">
        <f t="shared" si="3"/>
        <v>687.33715270518042</v>
      </c>
      <c r="F67" s="9">
        <f t="shared" si="4"/>
        <v>831.75543083834327</v>
      </c>
    </row>
    <row r="68" spans="2:6">
      <c r="B68">
        <f t="shared" si="0"/>
        <v>60</v>
      </c>
      <c r="C68" s="1">
        <f t="shared" si="1"/>
        <v>43922</v>
      </c>
      <c r="D68" s="9">
        <f t="shared" si="2"/>
        <v>205369.39038071578</v>
      </c>
      <c r="E68" s="9">
        <f t="shared" si="3"/>
        <v>684.56463460238592</v>
      </c>
      <c r="F68" s="9">
        <f t="shared" si="4"/>
        <v>834.52794894113777</v>
      </c>
    </row>
    <row r="69" spans="2:6">
      <c r="B69">
        <f t="shared" si="0"/>
        <v>61</v>
      </c>
      <c r="C69" s="1">
        <f t="shared" si="1"/>
        <v>43952</v>
      </c>
      <c r="D69" s="9">
        <f t="shared" si="2"/>
        <v>204534.86243177464</v>
      </c>
      <c r="E69" s="9">
        <f t="shared" si="3"/>
        <v>681.7828747725822</v>
      </c>
      <c r="F69" s="9">
        <f t="shared" si="4"/>
        <v>837.30970877094148</v>
      </c>
    </row>
    <row r="70" spans="2:6">
      <c r="B70">
        <f t="shared" si="0"/>
        <v>62</v>
      </c>
      <c r="C70" s="1">
        <f t="shared" si="1"/>
        <v>43983</v>
      </c>
      <c r="D70" s="9">
        <f t="shared" si="2"/>
        <v>203697.5527230037</v>
      </c>
      <c r="E70" s="9">
        <f t="shared" si="3"/>
        <v>678.99184241001228</v>
      </c>
      <c r="F70" s="9">
        <f t="shared" si="4"/>
        <v>840.10074113351141</v>
      </c>
    </row>
    <row r="71" spans="2:6">
      <c r="B71">
        <f t="shared" si="0"/>
        <v>63</v>
      </c>
      <c r="C71" s="1">
        <f t="shared" si="1"/>
        <v>44013</v>
      </c>
      <c r="D71" s="9">
        <f t="shared" si="2"/>
        <v>202857.4519818702</v>
      </c>
      <c r="E71" s="9">
        <f t="shared" si="3"/>
        <v>676.19150660623393</v>
      </c>
      <c r="F71" s="9">
        <f t="shared" si="4"/>
        <v>842.90107693728976</v>
      </c>
    </row>
    <row r="72" spans="2:6">
      <c r="B72">
        <f t="shared" si="0"/>
        <v>64</v>
      </c>
      <c r="C72" s="1">
        <f t="shared" si="1"/>
        <v>44044</v>
      </c>
      <c r="D72" s="9">
        <f t="shared" si="2"/>
        <v>202014.5509049329</v>
      </c>
      <c r="E72" s="9">
        <f t="shared" si="3"/>
        <v>673.38183634977634</v>
      </c>
      <c r="F72" s="9">
        <f t="shared" si="4"/>
        <v>845.71074719374735</v>
      </c>
    </row>
    <row r="73" spans="2:6">
      <c r="B73">
        <f t="shared" si="0"/>
        <v>65</v>
      </c>
      <c r="C73" s="1">
        <f t="shared" si="1"/>
        <v>44075</v>
      </c>
      <c r="D73" s="9">
        <f t="shared" si="2"/>
        <v>201168.84015773915</v>
      </c>
      <c r="E73" s="9">
        <f t="shared" si="3"/>
        <v>670.56280052579712</v>
      </c>
      <c r="F73" s="9">
        <f t="shared" si="4"/>
        <v>848.52978301772657</v>
      </c>
    </row>
    <row r="74" spans="2:6">
      <c r="B74">
        <f t="shared" si="0"/>
        <v>66</v>
      </c>
      <c r="C74" s="1">
        <f t="shared" si="1"/>
        <v>44105</v>
      </c>
      <c r="D74" s="9">
        <f t="shared" si="2"/>
        <v>200320.31037472142</v>
      </c>
      <c r="E74" s="9">
        <f t="shared" si="3"/>
        <v>667.73436791573806</v>
      </c>
      <c r="F74" s="9">
        <f t="shared" si="4"/>
        <v>851.35821562778563</v>
      </c>
    </row>
    <row r="75" spans="2:6">
      <c r="B75">
        <f t="shared" ref="B75:B138" si="5">B74+1</f>
        <v>67</v>
      </c>
      <c r="C75" s="1">
        <f t="shared" ref="C75:C138" si="6">DATE(YEAR(C74),MONTH(C74)+1,DAY(C74))</f>
        <v>44136</v>
      </c>
      <c r="D75" s="9">
        <f t="shared" ref="D75:D138" si="7">D74-F74</f>
        <v>199468.95215909363</v>
      </c>
      <c r="E75" s="9">
        <f t="shared" ref="E75:E138" si="8">D75*D$4/12</f>
        <v>664.89650719697886</v>
      </c>
      <c r="F75" s="9">
        <f t="shared" ref="F75:F138" si="9">F$6-E75</f>
        <v>854.19607634654483</v>
      </c>
    </row>
    <row r="76" spans="2:6">
      <c r="B76">
        <f t="shared" si="5"/>
        <v>68</v>
      </c>
      <c r="C76" s="1">
        <f t="shared" si="6"/>
        <v>44166</v>
      </c>
      <c r="D76" s="9">
        <f t="shared" si="7"/>
        <v>198614.7560827471</v>
      </c>
      <c r="E76" s="9">
        <f t="shared" si="8"/>
        <v>662.04918694249034</v>
      </c>
      <c r="F76" s="9">
        <f t="shared" si="9"/>
        <v>857.04339660103335</v>
      </c>
    </row>
    <row r="77" spans="2:6">
      <c r="B77">
        <f t="shared" si="5"/>
        <v>69</v>
      </c>
      <c r="C77" s="1">
        <f t="shared" si="6"/>
        <v>44197</v>
      </c>
      <c r="D77" s="9">
        <f t="shared" si="7"/>
        <v>197757.71268614606</v>
      </c>
      <c r="E77" s="9">
        <f t="shared" si="8"/>
        <v>659.19237562048681</v>
      </c>
      <c r="F77" s="9">
        <f t="shared" si="9"/>
        <v>859.90020792303687</v>
      </c>
    </row>
    <row r="78" spans="2:6">
      <c r="B78">
        <f t="shared" si="5"/>
        <v>70</v>
      </c>
      <c r="C78" s="1">
        <f t="shared" si="6"/>
        <v>44228</v>
      </c>
      <c r="D78" s="9">
        <f t="shared" si="7"/>
        <v>196897.81247822303</v>
      </c>
      <c r="E78" s="9">
        <f t="shared" si="8"/>
        <v>656.32604159407686</v>
      </c>
      <c r="F78" s="9">
        <f t="shared" si="9"/>
        <v>862.76654194944683</v>
      </c>
    </row>
    <row r="79" spans="2:6">
      <c r="B79">
        <f t="shared" si="5"/>
        <v>71</v>
      </c>
      <c r="C79" s="1">
        <f t="shared" si="6"/>
        <v>44256</v>
      </c>
      <c r="D79" s="9">
        <f t="shared" si="7"/>
        <v>196035.04593627359</v>
      </c>
      <c r="E79" s="9">
        <f t="shared" si="8"/>
        <v>653.45015312091198</v>
      </c>
      <c r="F79" s="9">
        <f t="shared" si="9"/>
        <v>865.64243042261171</v>
      </c>
    </row>
    <row r="80" spans="2:6">
      <c r="B80">
        <f t="shared" si="5"/>
        <v>72</v>
      </c>
      <c r="C80" s="1">
        <f t="shared" si="6"/>
        <v>44287</v>
      </c>
      <c r="D80" s="9">
        <f t="shared" si="7"/>
        <v>195169.40350585096</v>
      </c>
      <c r="E80" s="9">
        <f t="shared" si="8"/>
        <v>650.56467835283649</v>
      </c>
      <c r="F80" s="9">
        <f t="shared" si="9"/>
        <v>868.52790519068719</v>
      </c>
    </row>
    <row r="81" spans="2:6">
      <c r="B81">
        <f t="shared" si="5"/>
        <v>73</v>
      </c>
      <c r="C81" s="1">
        <f t="shared" si="6"/>
        <v>44317</v>
      </c>
      <c r="D81" s="9">
        <f t="shared" si="7"/>
        <v>194300.87560066028</v>
      </c>
      <c r="E81" s="9">
        <f t="shared" si="8"/>
        <v>647.66958533553429</v>
      </c>
      <c r="F81" s="9">
        <f t="shared" si="9"/>
        <v>871.42299820798939</v>
      </c>
    </row>
    <row r="82" spans="2:6">
      <c r="B82">
        <f t="shared" si="5"/>
        <v>74</v>
      </c>
      <c r="C82" s="1">
        <f t="shared" si="6"/>
        <v>44348</v>
      </c>
      <c r="D82" s="9">
        <f t="shared" si="7"/>
        <v>193429.45260245228</v>
      </c>
      <c r="E82" s="9">
        <f t="shared" si="8"/>
        <v>644.76484200817424</v>
      </c>
      <c r="F82" s="9">
        <f t="shared" si="9"/>
        <v>874.32774153534945</v>
      </c>
    </row>
    <row r="83" spans="2:6">
      <c r="B83">
        <f t="shared" si="5"/>
        <v>75</v>
      </c>
      <c r="C83" s="1">
        <f t="shared" si="6"/>
        <v>44378</v>
      </c>
      <c r="D83" s="9">
        <f t="shared" si="7"/>
        <v>192555.12486091693</v>
      </c>
      <c r="E83" s="9">
        <f t="shared" si="8"/>
        <v>641.8504162030564</v>
      </c>
      <c r="F83" s="9">
        <f t="shared" si="9"/>
        <v>877.24216734046729</v>
      </c>
    </row>
    <row r="84" spans="2:6">
      <c r="B84">
        <f t="shared" si="5"/>
        <v>76</v>
      </c>
      <c r="C84" s="1">
        <f t="shared" si="6"/>
        <v>44409</v>
      </c>
      <c r="D84" s="9">
        <f t="shared" si="7"/>
        <v>191677.88269357645</v>
      </c>
      <c r="E84" s="9">
        <f t="shared" si="8"/>
        <v>638.9262756452548</v>
      </c>
      <c r="F84" s="9">
        <f t="shared" si="9"/>
        <v>880.16630789826888</v>
      </c>
    </row>
    <row r="85" spans="2:6">
      <c r="B85">
        <f t="shared" si="5"/>
        <v>77</v>
      </c>
      <c r="C85" s="1">
        <f t="shared" si="6"/>
        <v>44440</v>
      </c>
      <c r="D85" s="9">
        <f t="shared" si="7"/>
        <v>190797.71638567818</v>
      </c>
      <c r="E85" s="9">
        <f t="shared" si="8"/>
        <v>635.99238795226063</v>
      </c>
      <c r="F85" s="9">
        <f t="shared" si="9"/>
        <v>883.10019559126306</v>
      </c>
    </row>
    <row r="86" spans="2:6">
      <c r="B86">
        <f t="shared" si="5"/>
        <v>78</v>
      </c>
      <c r="C86" s="1">
        <f t="shared" si="6"/>
        <v>44470</v>
      </c>
      <c r="D86" s="9">
        <f t="shared" si="7"/>
        <v>189914.61619008693</v>
      </c>
      <c r="E86" s="9">
        <f t="shared" si="8"/>
        <v>633.04872063362313</v>
      </c>
      <c r="F86" s="9">
        <f t="shared" si="9"/>
        <v>886.04386290990055</v>
      </c>
    </row>
    <row r="87" spans="2:6">
      <c r="B87">
        <f t="shared" si="5"/>
        <v>79</v>
      </c>
      <c r="C87" s="1">
        <f t="shared" si="6"/>
        <v>44501</v>
      </c>
      <c r="D87" s="9">
        <f t="shared" si="7"/>
        <v>189028.57232717704</v>
      </c>
      <c r="E87" s="9">
        <f t="shared" si="8"/>
        <v>630.09524109059009</v>
      </c>
      <c r="F87" s="9">
        <f t="shared" si="9"/>
        <v>888.99734245293359</v>
      </c>
    </row>
    <row r="88" spans="2:6">
      <c r="B88">
        <f t="shared" si="5"/>
        <v>80</v>
      </c>
      <c r="C88" s="1">
        <f t="shared" si="6"/>
        <v>44531</v>
      </c>
      <c r="D88" s="9">
        <f t="shared" si="7"/>
        <v>188139.57498472411</v>
      </c>
      <c r="E88" s="9">
        <f t="shared" si="8"/>
        <v>627.13191661574706</v>
      </c>
      <c r="F88" s="9">
        <f t="shared" si="9"/>
        <v>891.96066692777663</v>
      </c>
    </row>
    <row r="89" spans="2:6">
      <c r="B89">
        <f t="shared" si="5"/>
        <v>81</v>
      </c>
      <c r="C89" s="1">
        <f t="shared" si="6"/>
        <v>44562</v>
      </c>
      <c r="D89" s="9">
        <f t="shared" si="7"/>
        <v>187247.61431779634</v>
      </c>
      <c r="E89" s="9">
        <f t="shared" si="8"/>
        <v>624.15871439265447</v>
      </c>
      <c r="F89" s="9">
        <f t="shared" si="9"/>
        <v>894.93386915086921</v>
      </c>
    </row>
    <row r="90" spans="2:6">
      <c r="B90">
        <f t="shared" si="5"/>
        <v>82</v>
      </c>
      <c r="C90" s="1">
        <f t="shared" si="6"/>
        <v>44593</v>
      </c>
      <c r="D90" s="9">
        <f t="shared" si="7"/>
        <v>186352.68044864546</v>
      </c>
      <c r="E90" s="9">
        <f t="shared" si="8"/>
        <v>621.1756014954849</v>
      </c>
      <c r="F90" s="9">
        <f t="shared" si="9"/>
        <v>897.91698204803879</v>
      </c>
    </row>
    <row r="91" spans="2:6">
      <c r="B91">
        <f t="shared" si="5"/>
        <v>83</v>
      </c>
      <c r="C91" s="1">
        <f t="shared" si="6"/>
        <v>44621</v>
      </c>
      <c r="D91" s="9">
        <f t="shared" si="7"/>
        <v>185454.76346659742</v>
      </c>
      <c r="E91" s="9">
        <f t="shared" si="8"/>
        <v>618.18254488865807</v>
      </c>
      <c r="F91" s="9">
        <f t="shared" si="9"/>
        <v>900.91003865486562</v>
      </c>
    </row>
    <row r="92" spans="2:6">
      <c r="B92">
        <f t="shared" si="5"/>
        <v>84</v>
      </c>
      <c r="C92" s="1">
        <f t="shared" si="6"/>
        <v>44652</v>
      </c>
      <c r="D92" s="9">
        <f t="shared" si="7"/>
        <v>184553.85342794255</v>
      </c>
      <c r="E92" s="9">
        <f t="shared" si="8"/>
        <v>615.17951142647519</v>
      </c>
      <c r="F92" s="9">
        <f t="shared" si="9"/>
        <v>903.9130721170485</v>
      </c>
    </row>
    <row r="93" spans="2:6">
      <c r="B93">
        <f t="shared" si="5"/>
        <v>85</v>
      </c>
      <c r="C93" s="1">
        <f t="shared" si="6"/>
        <v>44682</v>
      </c>
      <c r="D93" s="9">
        <f t="shared" si="7"/>
        <v>183649.9403558255</v>
      </c>
      <c r="E93" s="9">
        <f t="shared" si="8"/>
        <v>612.16646785275168</v>
      </c>
      <c r="F93" s="9">
        <f t="shared" si="9"/>
        <v>906.92611569077201</v>
      </c>
    </row>
    <row r="94" spans="2:6">
      <c r="B94">
        <f t="shared" si="5"/>
        <v>86</v>
      </c>
      <c r="C94" s="1">
        <f t="shared" si="6"/>
        <v>44713</v>
      </c>
      <c r="D94" s="9">
        <f t="shared" si="7"/>
        <v>182743.01424013474</v>
      </c>
      <c r="E94" s="9">
        <f t="shared" si="8"/>
        <v>609.14338080044911</v>
      </c>
      <c r="F94" s="9">
        <f t="shared" si="9"/>
        <v>909.94920274307458</v>
      </c>
    </row>
    <row r="95" spans="2:6">
      <c r="B95">
        <f t="shared" si="5"/>
        <v>87</v>
      </c>
      <c r="C95" s="1">
        <f t="shared" si="6"/>
        <v>44743</v>
      </c>
      <c r="D95" s="9">
        <f t="shared" si="7"/>
        <v>181833.06503739167</v>
      </c>
      <c r="E95" s="9">
        <f t="shared" si="8"/>
        <v>606.11021679130556</v>
      </c>
      <c r="F95" s="9">
        <f t="shared" si="9"/>
        <v>912.98236675221813</v>
      </c>
    </row>
    <row r="96" spans="2:6">
      <c r="B96">
        <f t="shared" si="5"/>
        <v>88</v>
      </c>
      <c r="C96" s="1">
        <f t="shared" si="6"/>
        <v>44774</v>
      </c>
      <c r="D96" s="9">
        <f t="shared" si="7"/>
        <v>180920.08267063944</v>
      </c>
      <c r="E96" s="9">
        <f t="shared" si="8"/>
        <v>603.06694223546481</v>
      </c>
      <c r="F96" s="9">
        <f t="shared" si="9"/>
        <v>916.02564130805888</v>
      </c>
    </row>
    <row r="97" spans="2:6">
      <c r="B97">
        <f t="shared" si="5"/>
        <v>89</v>
      </c>
      <c r="C97" s="1">
        <f t="shared" si="6"/>
        <v>44805</v>
      </c>
      <c r="D97" s="9">
        <f t="shared" si="7"/>
        <v>180004.05702933139</v>
      </c>
      <c r="E97" s="9">
        <f t="shared" si="8"/>
        <v>600.01352343110466</v>
      </c>
      <c r="F97" s="9">
        <f t="shared" si="9"/>
        <v>919.07906011241903</v>
      </c>
    </row>
    <row r="98" spans="2:6">
      <c r="B98">
        <f t="shared" si="5"/>
        <v>90</v>
      </c>
      <c r="C98" s="1">
        <f t="shared" si="6"/>
        <v>44835</v>
      </c>
      <c r="D98" s="9">
        <f t="shared" si="7"/>
        <v>179084.97796921898</v>
      </c>
      <c r="E98" s="9">
        <f t="shared" si="8"/>
        <v>596.94992656406328</v>
      </c>
      <c r="F98" s="9">
        <f t="shared" si="9"/>
        <v>922.14265697946041</v>
      </c>
    </row>
    <row r="99" spans="2:6">
      <c r="B99">
        <f t="shared" si="5"/>
        <v>91</v>
      </c>
      <c r="C99" s="1">
        <f t="shared" si="6"/>
        <v>44866</v>
      </c>
      <c r="D99" s="9">
        <f t="shared" si="7"/>
        <v>178162.83531223951</v>
      </c>
      <c r="E99" s="9">
        <f t="shared" si="8"/>
        <v>593.87611770746503</v>
      </c>
      <c r="F99" s="9">
        <f t="shared" si="9"/>
        <v>925.21646583605866</v>
      </c>
    </row>
    <row r="100" spans="2:6">
      <c r="B100">
        <f t="shared" si="5"/>
        <v>92</v>
      </c>
      <c r="C100" s="1">
        <f t="shared" si="6"/>
        <v>44896</v>
      </c>
      <c r="D100" s="9">
        <f t="shared" si="7"/>
        <v>177237.61884640343</v>
      </c>
      <c r="E100" s="9">
        <f t="shared" si="8"/>
        <v>590.79206282134476</v>
      </c>
      <c r="F100" s="9">
        <f t="shared" si="9"/>
        <v>928.30052072217893</v>
      </c>
    </row>
    <row r="101" spans="2:6">
      <c r="B101">
        <f t="shared" si="5"/>
        <v>93</v>
      </c>
      <c r="C101" s="1">
        <f t="shared" si="6"/>
        <v>44927</v>
      </c>
      <c r="D101" s="9">
        <f t="shared" si="7"/>
        <v>176309.31832568126</v>
      </c>
      <c r="E101" s="9">
        <f t="shared" si="8"/>
        <v>587.69772775227091</v>
      </c>
      <c r="F101" s="9">
        <f t="shared" si="9"/>
        <v>931.39485579125278</v>
      </c>
    </row>
    <row r="102" spans="2:6">
      <c r="B102">
        <f t="shared" si="5"/>
        <v>94</v>
      </c>
      <c r="C102" s="1">
        <f t="shared" si="6"/>
        <v>44958</v>
      </c>
      <c r="D102" s="9">
        <f t="shared" si="7"/>
        <v>175377.92346989</v>
      </c>
      <c r="E102" s="9">
        <f t="shared" si="8"/>
        <v>584.5930782329666</v>
      </c>
      <c r="F102" s="9">
        <f t="shared" si="9"/>
        <v>934.49950531055708</v>
      </c>
    </row>
    <row r="103" spans="2:6">
      <c r="B103">
        <f t="shared" si="5"/>
        <v>95</v>
      </c>
      <c r="C103" s="1">
        <f t="shared" si="6"/>
        <v>44986</v>
      </c>
      <c r="D103" s="9">
        <f t="shared" si="7"/>
        <v>174443.42396457944</v>
      </c>
      <c r="E103" s="9">
        <f t="shared" si="8"/>
        <v>581.47807988193142</v>
      </c>
      <c r="F103" s="9">
        <f t="shared" si="9"/>
        <v>937.61450366159227</v>
      </c>
    </row>
    <row r="104" spans="2:6">
      <c r="B104">
        <f t="shared" si="5"/>
        <v>96</v>
      </c>
      <c r="C104" s="1">
        <f t="shared" si="6"/>
        <v>45017</v>
      </c>
      <c r="D104" s="9">
        <f t="shared" si="7"/>
        <v>173505.80946091787</v>
      </c>
      <c r="E104" s="9">
        <f t="shared" si="8"/>
        <v>578.3526982030595</v>
      </c>
      <c r="F104" s="9">
        <f t="shared" si="9"/>
        <v>940.73988534046418</v>
      </c>
    </row>
    <row r="105" spans="2:6">
      <c r="B105">
        <f t="shared" si="5"/>
        <v>97</v>
      </c>
      <c r="C105" s="1">
        <f t="shared" si="6"/>
        <v>45047</v>
      </c>
      <c r="D105" s="9">
        <f t="shared" si="7"/>
        <v>172565.06957557739</v>
      </c>
      <c r="E105" s="9">
        <f t="shared" si="8"/>
        <v>575.21689858525804</v>
      </c>
      <c r="F105" s="9">
        <f t="shared" si="9"/>
        <v>943.87568495826565</v>
      </c>
    </row>
    <row r="106" spans="2:6">
      <c r="B106">
        <f t="shared" si="5"/>
        <v>98</v>
      </c>
      <c r="C106" s="1">
        <f t="shared" si="6"/>
        <v>45078</v>
      </c>
      <c r="D106" s="9">
        <f t="shared" si="7"/>
        <v>171621.19389061912</v>
      </c>
      <c r="E106" s="9">
        <f t="shared" si="8"/>
        <v>572.07064630206378</v>
      </c>
      <c r="F106" s="9">
        <f t="shared" si="9"/>
        <v>947.02193724145991</v>
      </c>
    </row>
    <row r="107" spans="2:6">
      <c r="B107">
        <f t="shared" si="5"/>
        <v>99</v>
      </c>
      <c r="C107" s="1">
        <f t="shared" si="6"/>
        <v>45108</v>
      </c>
      <c r="D107" s="9">
        <f t="shared" si="7"/>
        <v>170674.17195337766</v>
      </c>
      <c r="E107" s="9">
        <f t="shared" si="8"/>
        <v>568.91390651125892</v>
      </c>
      <c r="F107" s="9">
        <f t="shared" si="9"/>
        <v>950.17867703226477</v>
      </c>
    </row>
    <row r="108" spans="2:6">
      <c r="B108">
        <f t="shared" si="5"/>
        <v>100</v>
      </c>
      <c r="C108" s="1">
        <f t="shared" si="6"/>
        <v>45139</v>
      </c>
      <c r="D108" s="9">
        <f t="shared" si="7"/>
        <v>169723.9932763454</v>
      </c>
      <c r="E108" s="9">
        <f t="shared" si="8"/>
        <v>565.74664425448464</v>
      </c>
      <c r="F108" s="9">
        <f t="shared" si="9"/>
        <v>953.34593928903905</v>
      </c>
    </row>
    <row r="109" spans="2:6">
      <c r="B109">
        <f t="shared" si="5"/>
        <v>101</v>
      </c>
      <c r="C109" s="1">
        <f t="shared" si="6"/>
        <v>45170</v>
      </c>
      <c r="D109" s="9">
        <f t="shared" si="7"/>
        <v>168770.64733705635</v>
      </c>
      <c r="E109" s="9">
        <f t="shared" si="8"/>
        <v>562.56882445685449</v>
      </c>
      <c r="F109" s="9">
        <f t="shared" si="9"/>
        <v>956.5237590866692</v>
      </c>
    </row>
    <row r="110" spans="2:6">
      <c r="B110">
        <f t="shared" si="5"/>
        <v>102</v>
      </c>
      <c r="C110" s="1">
        <f t="shared" si="6"/>
        <v>45200</v>
      </c>
      <c r="D110" s="9">
        <f t="shared" si="7"/>
        <v>167814.12357796967</v>
      </c>
      <c r="E110" s="9">
        <f t="shared" si="8"/>
        <v>559.38041192656556</v>
      </c>
      <c r="F110" s="9">
        <f t="shared" si="9"/>
        <v>959.71217161695813</v>
      </c>
    </row>
    <row r="111" spans="2:6">
      <c r="B111">
        <f t="shared" si="5"/>
        <v>103</v>
      </c>
      <c r="C111" s="1">
        <f t="shared" si="6"/>
        <v>45231</v>
      </c>
      <c r="D111" s="9">
        <f t="shared" si="7"/>
        <v>166854.41140635271</v>
      </c>
      <c r="E111" s="9">
        <f t="shared" si="8"/>
        <v>556.181371354509</v>
      </c>
      <c r="F111" s="9">
        <f t="shared" si="9"/>
        <v>962.91121218901469</v>
      </c>
    </row>
    <row r="112" spans="2:6">
      <c r="B112">
        <f t="shared" si="5"/>
        <v>104</v>
      </c>
      <c r="C112" s="1">
        <f t="shared" si="6"/>
        <v>45261</v>
      </c>
      <c r="D112" s="9">
        <f t="shared" si="7"/>
        <v>165891.5001941637</v>
      </c>
      <c r="E112" s="9">
        <f t="shared" si="8"/>
        <v>552.97166731387904</v>
      </c>
      <c r="F112" s="9">
        <f t="shared" si="9"/>
        <v>966.12091622964465</v>
      </c>
    </row>
    <row r="113" spans="2:6">
      <c r="B113">
        <f t="shared" si="5"/>
        <v>105</v>
      </c>
      <c r="C113" s="1">
        <f t="shared" si="6"/>
        <v>45292</v>
      </c>
      <c r="D113" s="9">
        <f t="shared" si="7"/>
        <v>164925.37927793406</v>
      </c>
      <c r="E113" s="9">
        <f t="shared" si="8"/>
        <v>549.75126425978021</v>
      </c>
      <c r="F113" s="9">
        <f t="shared" si="9"/>
        <v>969.34131928374347</v>
      </c>
    </row>
    <row r="114" spans="2:6">
      <c r="B114">
        <f t="shared" si="5"/>
        <v>106</v>
      </c>
      <c r="C114" s="1">
        <f t="shared" si="6"/>
        <v>45323</v>
      </c>
      <c r="D114" s="9">
        <f t="shared" si="7"/>
        <v>163956.03795865033</v>
      </c>
      <c r="E114" s="9">
        <f t="shared" si="8"/>
        <v>546.52012652883445</v>
      </c>
      <c r="F114" s="9">
        <f t="shared" si="9"/>
        <v>972.57245701468923</v>
      </c>
    </row>
    <row r="115" spans="2:6">
      <c r="B115">
        <f t="shared" si="5"/>
        <v>107</v>
      </c>
      <c r="C115" s="1">
        <f t="shared" si="6"/>
        <v>45352</v>
      </c>
      <c r="D115" s="9">
        <f t="shared" si="7"/>
        <v>162983.46550163563</v>
      </c>
      <c r="E115" s="9">
        <f t="shared" si="8"/>
        <v>543.27821833878545</v>
      </c>
      <c r="F115" s="9">
        <f t="shared" si="9"/>
        <v>975.81436520473824</v>
      </c>
    </row>
    <row r="116" spans="2:6">
      <c r="B116">
        <f t="shared" si="5"/>
        <v>108</v>
      </c>
      <c r="C116" s="1">
        <f t="shared" si="6"/>
        <v>45383</v>
      </c>
      <c r="D116" s="9">
        <f t="shared" si="7"/>
        <v>162007.65113643088</v>
      </c>
      <c r="E116" s="9">
        <f t="shared" si="8"/>
        <v>540.02550378810292</v>
      </c>
      <c r="F116" s="9">
        <f t="shared" si="9"/>
        <v>979.06707975542076</v>
      </c>
    </row>
    <row r="117" spans="2:6">
      <c r="B117">
        <f t="shared" si="5"/>
        <v>109</v>
      </c>
      <c r="C117" s="1">
        <f t="shared" si="6"/>
        <v>45413</v>
      </c>
      <c r="D117" s="9">
        <f t="shared" si="7"/>
        <v>161028.58405667546</v>
      </c>
      <c r="E117" s="9">
        <f t="shared" si="8"/>
        <v>536.76194685558482</v>
      </c>
      <c r="F117" s="9">
        <f t="shared" si="9"/>
        <v>982.33063668793886</v>
      </c>
    </row>
    <row r="118" spans="2:6">
      <c r="B118">
        <f t="shared" si="5"/>
        <v>110</v>
      </c>
      <c r="C118" s="1">
        <f t="shared" si="6"/>
        <v>45444</v>
      </c>
      <c r="D118" s="9">
        <f t="shared" si="7"/>
        <v>160046.25341998754</v>
      </c>
      <c r="E118" s="9">
        <f t="shared" si="8"/>
        <v>533.48751139995841</v>
      </c>
      <c r="F118" s="9">
        <f t="shared" si="9"/>
        <v>985.60507214356528</v>
      </c>
    </row>
    <row r="119" spans="2:6">
      <c r="B119">
        <f t="shared" si="5"/>
        <v>111</v>
      </c>
      <c r="C119" s="1">
        <f t="shared" si="6"/>
        <v>45474</v>
      </c>
      <c r="D119" s="9">
        <f t="shared" si="7"/>
        <v>159060.64834784396</v>
      </c>
      <c r="E119" s="9">
        <f t="shared" si="8"/>
        <v>530.20216115947994</v>
      </c>
      <c r="F119" s="9">
        <f t="shared" si="9"/>
        <v>988.89042238404375</v>
      </c>
    </row>
    <row r="120" spans="2:6">
      <c r="B120">
        <f t="shared" si="5"/>
        <v>112</v>
      </c>
      <c r="C120" s="1">
        <f t="shared" si="6"/>
        <v>45505</v>
      </c>
      <c r="D120" s="9">
        <f t="shared" si="7"/>
        <v>158071.75792545991</v>
      </c>
      <c r="E120" s="9">
        <f t="shared" si="8"/>
        <v>526.90585975153306</v>
      </c>
      <c r="F120" s="9">
        <f t="shared" si="9"/>
        <v>992.18672379199063</v>
      </c>
    </row>
    <row r="121" spans="2:6">
      <c r="B121">
        <f t="shared" si="5"/>
        <v>113</v>
      </c>
      <c r="C121" s="1">
        <f t="shared" si="6"/>
        <v>45536</v>
      </c>
      <c r="D121" s="9">
        <f t="shared" si="7"/>
        <v>157079.57120166792</v>
      </c>
      <c r="E121" s="9">
        <f t="shared" si="8"/>
        <v>523.5985706722264</v>
      </c>
      <c r="F121" s="9">
        <f t="shared" si="9"/>
        <v>995.49401287129729</v>
      </c>
    </row>
    <row r="122" spans="2:6">
      <c r="B122">
        <f t="shared" si="5"/>
        <v>114</v>
      </c>
      <c r="C122" s="1">
        <f t="shared" si="6"/>
        <v>45566</v>
      </c>
      <c r="D122" s="9">
        <f t="shared" si="7"/>
        <v>156084.07718879663</v>
      </c>
      <c r="E122" s="9">
        <f t="shared" si="8"/>
        <v>520.28025729598869</v>
      </c>
      <c r="F122" s="9">
        <f t="shared" si="9"/>
        <v>998.812326247535</v>
      </c>
    </row>
    <row r="123" spans="2:6">
      <c r="B123">
        <f t="shared" si="5"/>
        <v>115</v>
      </c>
      <c r="C123" s="1">
        <f t="shared" si="6"/>
        <v>45597</v>
      </c>
      <c r="D123" s="9">
        <f t="shared" si="7"/>
        <v>155085.26486254908</v>
      </c>
      <c r="E123" s="9">
        <f t="shared" si="8"/>
        <v>516.95088287516364</v>
      </c>
      <c r="F123" s="9">
        <f t="shared" si="9"/>
        <v>1002.14170066836</v>
      </c>
    </row>
    <row r="124" spans="2:6">
      <c r="B124">
        <f t="shared" si="5"/>
        <v>116</v>
      </c>
      <c r="C124" s="1">
        <f t="shared" si="6"/>
        <v>45627</v>
      </c>
      <c r="D124" s="9">
        <f t="shared" si="7"/>
        <v>154083.12316188074</v>
      </c>
      <c r="E124" s="9">
        <f t="shared" si="8"/>
        <v>513.61041053960241</v>
      </c>
      <c r="F124" s="9">
        <f t="shared" si="9"/>
        <v>1005.4821730039213</v>
      </c>
    </row>
    <row r="125" spans="2:6">
      <c r="B125">
        <f t="shared" si="5"/>
        <v>117</v>
      </c>
      <c r="C125" s="1">
        <f t="shared" si="6"/>
        <v>45658</v>
      </c>
      <c r="D125" s="9">
        <f t="shared" si="7"/>
        <v>153077.64098887681</v>
      </c>
      <c r="E125" s="9">
        <f t="shared" si="8"/>
        <v>510.25880329625602</v>
      </c>
      <c r="F125" s="9">
        <f t="shared" si="9"/>
        <v>1008.8337802472677</v>
      </c>
    </row>
    <row r="126" spans="2:6">
      <c r="B126">
        <f t="shared" si="5"/>
        <v>118</v>
      </c>
      <c r="C126" s="1">
        <f t="shared" si="6"/>
        <v>45689</v>
      </c>
      <c r="D126" s="9">
        <f t="shared" si="7"/>
        <v>152068.80720862953</v>
      </c>
      <c r="E126" s="9">
        <f t="shared" si="8"/>
        <v>506.89602402876511</v>
      </c>
      <c r="F126" s="9">
        <f t="shared" si="9"/>
        <v>1012.1965595147585</v>
      </c>
    </row>
    <row r="127" spans="2:6">
      <c r="B127">
        <f t="shared" si="5"/>
        <v>119</v>
      </c>
      <c r="C127" s="1">
        <f t="shared" si="6"/>
        <v>45717</v>
      </c>
      <c r="D127" s="9">
        <f t="shared" si="7"/>
        <v>151056.61064911477</v>
      </c>
      <c r="E127" s="9">
        <f t="shared" si="8"/>
        <v>503.52203549704922</v>
      </c>
      <c r="F127" s="9">
        <f t="shared" si="9"/>
        <v>1015.5705480464744</v>
      </c>
    </row>
    <row r="128" spans="2:6">
      <c r="B128">
        <f t="shared" si="5"/>
        <v>120</v>
      </c>
      <c r="C128" s="1">
        <f t="shared" si="6"/>
        <v>45748</v>
      </c>
      <c r="D128" s="9">
        <f t="shared" si="7"/>
        <v>150041.0401010683</v>
      </c>
      <c r="E128" s="9">
        <f t="shared" si="8"/>
        <v>500.13680033689434</v>
      </c>
      <c r="F128" s="9">
        <f t="shared" si="9"/>
        <v>1018.9557832066293</v>
      </c>
    </row>
    <row r="129" spans="2:6">
      <c r="B129">
        <f t="shared" si="5"/>
        <v>121</v>
      </c>
      <c r="C129" s="1">
        <f t="shared" si="6"/>
        <v>45778</v>
      </c>
      <c r="D129" s="9">
        <f t="shared" si="7"/>
        <v>149022.08431786168</v>
      </c>
      <c r="E129" s="9">
        <f t="shared" si="8"/>
        <v>496.74028105953897</v>
      </c>
      <c r="F129" s="9">
        <f t="shared" si="9"/>
        <v>1022.3523024839847</v>
      </c>
    </row>
    <row r="130" spans="2:6">
      <c r="B130">
        <f t="shared" si="5"/>
        <v>122</v>
      </c>
      <c r="C130" s="1">
        <f t="shared" si="6"/>
        <v>45809</v>
      </c>
      <c r="D130" s="9">
        <f t="shared" si="7"/>
        <v>147999.7320153777</v>
      </c>
      <c r="E130" s="9">
        <f t="shared" si="8"/>
        <v>493.33244005125903</v>
      </c>
      <c r="F130" s="9">
        <f t="shared" si="9"/>
        <v>1025.7601434922647</v>
      </c>
    </row>
    <row r="131" spans="2:6">
      <c r="B131">
        <f t="shared" si="5"/>
        <v>123</v>
      </c>
      <c r="C131" s="1">
        <f t="shared" si="6"/>
        <v>45839</v>
      </c>
      <c r="D131" s="9">
        <f t="shared" si="7"/>
        <v>146973.97187188544</v>
      </c>
      <c r="E131" s="9">
        <f t="shared" si="8"/>
        <v>489.91323957295145</v>
      </c>
      <c r="F131" s="9">
        <f t="shared" si="9"/>
        <v>1029.1793439705723</v>
      </c>
    </row>
    <row r="132" spans="2:6">
      <c r="B132">
        <f t="shared" si="5"/>
        <v>124</v>
      </c>
      <c r="C132" s="1">
        <f t="shared" si="6"/>
        <v>45870</v>
      </c>
      <c r="D132" s="9">
        <f t="shared" si="7"/>
        <v>145944.79252791486</v>
      </c>
      <c r="E132" s="9">
        <f t="shared" si="8"/>
        <v>486.48264175971622</v>
      </c>
      <c r="F132" s="9">
        <f t="shared" si="9"/>
        <v>1032.6099417838075</v>
      </c>
    </row>
    <row r="133" spans="2:6">
      <c r="B133">
        <f t="shared" si="5"/>
        <v>125</v>
      </c>
      <c r="C133" s="1">
        <f t="shared" si="6"/>
        <v>45901</v>
      </c>
      <c r="D133" s="9">
        <f t="shared" si="7"/>
        <v>144912.18258613106</v>
      </c>
      <c r="E133" s="9">
        <f t="shared" si="8"/>
        <v>483.0406086204369</v>
      </c>
      <c r="F133" s="9">
        <f t="shared" si="9"/>
        <v>1036.0519749230868</v>
      </c>
    </row>
    <row r="134" spans="2:6">
      <c r="B134">
        <f t="shared" si="5"/>
        <v>126</v>
      </c>
      <c r="C134" s="1">
        <f t="shared" si="6"/>
        <v>45931</v>
      </c>
      <c r="D134" s="9">
        <f t="shared" si="7"/>
        <v>143876.13061120798</v>
      </c>
      <c r="E134" s="9">
        <f t="shared" si="8"/>
        <v>479.58710203735995</v>
      </c>
      <c r="F134" s="9">
        <f t="shared" si="9"/>
        <v>1039.5054815061637</v>
      </c>
    </row>
    <row r="135" spans="2:6">
      <c r="B135">
        <f t="shared" si="5"/>
        <v>127</v>
      </c>
      <c r="C135" s="1">
        <f t="shared" si="6"/>
        <v>45962</v>
      </c>
      <c r="D135" s="9">
        <f t="shared" si="7"/>
        <v>142836.6251297018</v>
      </c>
      <c r="E135" s="9">
        <f t="shared" si="8"/>
        <v>476.1220837656727</v>
      </c>
      <c r="F135" s="9">
        <f t="shared" si="9"/>
        <v>1042.970499777851</v>
      </c>
    </row>
    <row r="136" spans="2:6">
      <c r="B136">
        <f t="shared" si="5"/>
        <v>128</v>
      </c>
      <c r="C136" s="1">
        <f t="shared" si="6"/>
        <v>45992</v>
      </c>
      <c r="D136" s="9">
        <f t="shared" si="7"/>
        <v>141793.65462992396</v>
      </c>
      <c r="E136" s="9">
        <f t="shared" si="8"/>
        <v>472.64551543307988</v>
      </c>
      <c r="F136" s="9">
        <f t="shared" si="9"/>
        <v>1046.4470681104438</v>
      </c>
    </row>
    <row r="137" spans="2:6">
      <c r="B137">
        <f t="shared" si="5"/>
        <v>129</v>
      </c>
      <c r="C137" s="1">
        <f t="shared" si="6"/>
        <v>46023</v>
      </c>
      <c r="D137" s="9">
        <f t="shared" si="7"/>
        <v>140747.2075618135</v>
      </c>
      <c r="E137" s="9">
        <f t="shared" si="8"/>
        <v>469.15735853937832</v>
      </c>
      <c r="F137" s="9">
        <f t="shared" si="9"/>
        <v>1049.9352250041454</v>
      </c>
    </row>
    <row r="138" spans="2:6">
      <c r="B138">
        <f t="shared" si="5"/>
        <v>130</v>
      </c>
      <c r="C138" s="1">
        <f t="shared" si="6"/>
        <v>46054</v>
      </c>
      <c r="D138" s="9">
        <f t="shared" si="7"/>
        <v>139697.27233680934</v>
      </c>
      <c r="E138" s="9">
        <f t="shared" si="8"/>
        <v>465.65757445603117</v>
      </c>
      <c r="F138" s="9">
        <f t="shared" si="9"/>
        <v>1053.4350090874925</v>
      </c>
    </row>
    <row r="139" spans="2:6">
      <c r="B139">
        <f t="shared" ref="B139:B202" si="10">B138+1</f>
        <v>131</v>
      </c>
      <c r="C139" s="1">
        <f t="shared" ref="C139:C202" si="11">DATE(YEAR(C138),MONTH(C138)+1,DAY(C138))</f>
        <v>46082</v>
      </c>
      <c r="D139" s="9">
        <f t="shared" ref="D139:D202" si="12">D138-F138</f>
        <v>138643.83732772185</v>
      </c>
      <c r="E139" s="9">
        <f t="shared" ref="E139:E202" si="13">D139*D$4/12</f>
        <v>462.14612442573952</v>
      </c>
      <c r="F139" s="9">
        <f t="shared" ref="F139:F202" si="14">F$6-E139</f>
        <v>1056.9464591177841</v>
      </c>
    </row>
    <row r="140" spans="2:6">
      <c r="B140">
        <f t="shared" si="10"/>
        <v>132</v>
      </c>
      <c r="C140" s="1">
        <f t="shared" si="11"/>
        <v>46113</v>
      </c>
      <c r="D140" s="9">
        <f t="shared" si="12"/>
        <v>137586.89086860407</v>
      </c>
      <c r="E140" s="9">
        <f t="shared" si="13"/>
        <v>458.62296956201357</v>
      </c>
      <c r="F140" s="9">
        <f t="shared" si="14"/>
        <v>1060.4696139815101</v>
      </c>
    </row>
    <row r="141" spans="2:6">
      <c r="B141">
        <f t="shared" si="10"/>
        <v>133</v>
      </c>
      <c r="C141" s="1">
        <f t="shared" si="11"/>
        <v>46143</v>
      </c>
      <c r="D141" s="9">
        <f t="shared" si="12"/>
        <v>136526.42125462255</v>
      </c>
      <c r="E141" s="9">
        <f t="shared" si="13"/>
        <v>455.08807084874184</v>
      </c>
      <c r="F141" s="9">
        <f t="shared" si="14"/>
        <v>1064.0045126947819</v>
      </c>
    </row>
    <row r="142" spans="2:6">
      <c r="B142">
        <f t="shared" si="10"/>
        <v>134</v>
      </c>
      <c r="C142" s="1">
        <f t="shared" si="11"/>
        <v>46174</v>
      </c>
      <c r="D142" s="9">
        <f t="shared" si="12"/>
        <v>135462.41674192777</v>
      </c>
      <c r="E142" s="9">
        <f t="shared" si="13"/>
        <v>451.54138913975925</v>
      </c>
      <c r="F142" s="9">
        <f t="shared" si="14"/>
        <v>1067.5511944037644</v>
      </c>
    </row>
    <row r="143" spans="2:6">
      <c r="B143">
        <f t="shared" si="10"/>
        <v>135</v>
      </c>
      <c r="C143" s="1">
        <f t="shared" si="11"/>
        <v>46204</v>
      </c>
      <c r="D143" s="9">
        <f t="shared" si="12"/>
        <v>134394.86554752401</v>
      </c>
      <c r="E143" s="9">
        <f t="shared" si="13"/>
        <v>447.98288515841335</v>
      </c>
      <c r="F143" s="9">
        <f t="shared" si="14"/>
        <v>1071.1096983851103</v>
      </c>
    </row>
    <row r="144" spans="2:6">
      <c r="B144">
        <f t="shared" si="10"/>
        <v>136</v>
      </c>
      <c r="C144" s="1">
        <f t="shared" si="11"/>
        <v>46235</v>
      </c>
      <c r="D144" s="9">
        <f t="shared" si="12"/>
        <v>133323.75584913889</v>
      </c>
      <c r="E144" s="9">
        <f t="shared" si="13"/>
        <v>444.41251949712961</v>
      </c>
      <c r="F144" s="9">
        <f t="shared" si="14"/>
        <v>1074.6800640463941</v>
      </c>
    </row>
    <row r="145" spans="2:6">
      <c r="B145">
        <f t="shared" si="10"/>
        <v>137</v>
      </c>
      <c r="C145" s="1">
        <f t="shared" si="11"/>
        <v>46266</v>
      </c>
      <c r="D145" s="9">
        <f t="shared" si="12"/>
        <v>132249.07578509249</v>
      </c>
      <c r="E145" s="9">
        <f t="shared" si="13"/>
        <v>440.83025261697497</v>
      </c>
      <c r="F145" s="9">
        <f t="shared" si="14"/>
        <v>1078.2623309265487</v>
      </c>
    </row>
    <row r="146" spans="2:6">
      <c r="B146">
        <f t="shared" si="10"/>
        <v>138</v>
      </c>
      <c r="C146" s="1">
        <f t="shared" si="11"/>
        <v>46296</v>
      </c>
      <c r="D146" s="9">
        <f t="shared" si="12"/>
        <v>131170.81345416594</v>
      </c>
      <c r="E146" s="9">
        <f t="shared" si="13"/>
        <v>437.23604484721977</v>
      </c>
      <c r="F146" s="9">
        <f t="shared" si="14"/>
        <v>1081.8565386963039</v>
      </c>
    </row>
    <row r="147" spans="2:6">
      <c r="B147">
        <f t="shared" si="10"/>
        <v>139</v>
      </c>
      <c r="C147" s="1">
        <f t="shared" si="11"/>
        <v>46327</v>
      </c>
      <c r="D147" s="9">
        <f t="shared" si="12"/>
        <v>130088.95691546964</v>
      </c>
      <c r="E147" s="9">
        <f t="shared" si="13"/>
        <v>433.6298563848988</v>
      </c>
      <c r="F147" s="9">
        <f t="shared" si="14"/>
        <v>1085.4627271586248</v>
      </c>
    </row>
    <row r="148" spans="2:6">
      <c r="B148">
        <f t="shared" si="10"/>
        <v>140</v>
      </c>
      <c r="C148" s="1">
        <f t="shared" si="11"/>
        <v>46357</v>
      </c>
      <c r="D148" s="9">
        <f t="shared" si="12"/>
        <v>129003.49418831102</v>
      </c>
      <c r="E148" s="9">
        <f t="shared" si="13"/>
        <v>430.01164729437005</v>
      </c>
      <c r="F148" s="9">
        <f t="shared" si="14"/>
        <v>1089.0809362491536</v>
      </c>
    </row>
    <row r="149" spans="2:6">
      <c r="B149">
        <f t="shared" si="10"/>
        <v>141</v>
      </c>
      <c r="C149" s="1">
        <f t="shared" si="11"/>
        <v>46388</v>
      </c>
      <c r="D149" s="9">
        <f t="shared" si="12"/>
        <v>127914.41325206186</v>
      </c>
      <c r="E149" s="9">
        <f t="shared" si="13"/>
        <v>426.38137750687287</v>
      </c>
      <c r="F149" s="9">
        <f t="shared" si="14"/>
        <v>1092.7112060366508</v>
      </c>
    </row>
    <row r="150" spans="2:6">
      <c r="B150">
        <f t="shared" si="10"/>
        <v>142</v>
      </c>
      <c r="C150" s="1">
        <f t="shared" si="11"/>
        <v>46419</v>
      </c>
      <c r="D150" s="9">
        <f t="shared" si="12"/>
        <v>126821.70204602521</v>
      </c>
      <c r="E150" s="9">
        <f t="shared" si="13"/>
        <v>422.73900682008406</v>
      </c>
      <c r="F150" s="9">
        <f t="shared" si="14"/>
        <v>1096.3535767234396</v>
      </c>
    </row>
    <row r="151" spans="2:6">
      <c r="B151">
        <f t="shared" si="10"/>
        <v>143</v>
      </c>
      <c r="C151" s="1">
        <f t="shared" si="11"/>
        <v>46447</v>
      </c>
      <c r="D151" s="9">
        <f t="shared" si="12"/>
        <v>125725.34846930177</v>
      </c>
      <c r="E151" s="9">
        <f t="shared" si="13"/>
        <v>419.08449489767258</v>
      </c>
      <c r="F151" s="9">
        <f t="shared" si="14"/>
        <v>1100.0080886458511</v>
      </c>
    </row>
    <row r="152" spans="2:6">
      <c r="B152">
        <f t="shared" si="10"/>
        <v>144</v>
      </c>
      <c r="C152" s="1">
        <f t="shared" si="11"/>
        <v>46478</v>
      </c>
      <c r="D152" s="9">
        <f t="shared" si="12"/>
        <v>124625.34038065592</v>
      </c>
      <c r="E152" s="9">
        <f t="shared" si="13"/>
        <v>415.41780126885305</v>
      </c>
      <c r="F152" s="9">
        <f t="shared" si="14"/>
        <v>1103.6747822746706</v>
      </c>
    </row>
    <row r="153" spans="2:6">
      <c r="B153">
        <f t="shared" si="10"/>
        <v>145</v>
      </c>
      <c r="C153" s="1">
        <f t="shared" si="11"/>
        <v>46508</v>
      </c>
      <c r="D153" s="9">
        <f t="shared" si="12"/>
        <v>123521.66559838125</v>
      </c>
      <c r="E153" s="9">
        <f t="shared" si="13"/>
        <v>411.73888532793757</v>
      </c>
      <c r="F153" s="9">
        <f t="shared" si="14"/>
        <v>1107.3536982155861</v>
      </c>
    </row>
    <row r="154" spans="2:6">
      <c r="B154">
        <f t="shared" si="10"/>
        <v>146</v>
      </c>
      <c r="C154" s="1">
        <f t="shared" si="11"/>
        <v>46539</v>
      </c>
      <c r="D154" s="9">
        <f t="shared" si="12"/>
        <v>122414.31190016566</v>
      </c>
      <c r="E154" s="9">
        <f t="shared" si="13"/>
        <v>408.04770633388557</v>
      </c>
      <c r="F154" s="9">
        <f t="shared" si="14"/>
        <v>1111.0448772096381</v>
      </c>
    </row>
    <row r="155" spans="2:6">
      <c r="B155">
        <f t="shared" si="10"/>
        <v>147</v>
      </c>
      <c r="C155" s="1">
        <f t="shared" si="11"/>
        <v>46569</v>
      </c>
      <c r="D155" s="9">
        <f t="shared" si="12"/>
        <v>121303.26702295602</v>
      </c>
      <c r="E155" s="9">
        <f t="shared" si="13"/>
        <v>404.34422340985338</v>
      </c>
      <c r="F155" s="9">
        <f t="shared" si="14"/>
        <v>1114.7483601336703</v>
      </c>
    </row>
    <row r="156" spans="2:6">
      <c r="B156">
        <f t="shared" si="10"/>
        <v>148</v>
      </c>
      <c r="C156" s="1">
        <f t="shared" si="11"/>
        <v>46600</v>
      </c>
      <c r="D156" s="9">
        <f t="shared" si="12"/>
        <v>120188.51866282235</v>
      </c>
      <c r="E156" s="9">
        <f t="shared" si="13"/>
        <v>400.62839554274115</v>
      </c>
      <c r="F156" s="9">
        <f t="shared" si="14"/>
        <v>1118.4641880007825</v>
      </c>
    </row>
    <row r="157" spans="2:6">
      <c r="B157">
        <f t="shared" si="10"/>
        <v>149</v>
      </c>
      <c r="C157" s="1">
        <f t="shared" si="11"/>
        <v>46631</v>
      </c>
      <c r="D157" s="9">
        <f t="shared" si="12"/>
        <v>119070.05447482156</v>
      </c>
      <c r="E157" s="9">
        <f t="shared" si="13"/>
        <v>396.90018158273853</v>
      </c>
      <c r="F157" s="9">
        <f t="shared" si="14"/>
        <v>1122.1924019607852</v>
      </c>
    </row>
    <row r="158" spans="2:6">
      <c r="B158">
        <f t="shared" si="10"/>
        <v>150</v>
      </c>
      <c r="C158" s="1">
        <f t="shared" si="11"/>
        <v>46661</v>
      </c>
      <c r="D158" s="9">
        <f t="shared" si="12"/>
        <v>117947.86207286078</v>
      </c>
      <c r="E158" s="9">
        <f t="shared" si="13"/>
        <v>393.1595402428693</v>
      </c>
      <c r="F158" s="9">
        <f t="shared" si="14"/>
        <v>1125.9330433006544</v>
      </c>
    </row>
    <row r="159" spans="2:6">
      <c r="B159">
        <f t="shared" si="10"/>
        <v>151</v>
      </c>
      <c r="C159" s="1">
        <f t="shared" si="11"/>
        <v>46692</v>
      </c>
      <c r="D159" s="9">
        <f t="shared" si="12"/>
        <v>116821.92902956012</v>
      </c>
      <c r="E159" s="9">
        <f t="shared" si="13"/>
        <v>389.40643009853375</v>
      </c>
      <c r="F159" s="9">
        <f t="shared" si="14"/>
        <v>1129.6861534449899</v>
      </c>
    </row>
    <row r="160" spans="2:6">
      <c r="B160">
        <f t="shared" si="10"/>
        <v>152</v>
      </c>
      <c r="C160" s="1">
        <f t="shared" si="11"/>
        <v>46722</v>
      </c>
      <c r="D160" s="9">
        <f t="shared" si="12"/>
        <v>115692.24287611514</v>
      </c>
      <c r="E160" s="9">
        <f t="shared" si="13"/>
        <v>385.64080958705046</v>
      </c>
      <c r="F160" s="9">
        <f t="shared" si="14"/>
        <v>1133.4517739564733</v>
      </c>
    </row>
    <row r="161" spans="2:6">
      <c r="B161">
        <f t="shared" si="10"/>
        <v>153</v>
      </c>
      <c r="C161" s="1">
        <f t="shared" si="11"/>
        <v>46753</v>
      </c>
      <c r="D161" s="9">
        <f t="shared" si="12"/>
        <v>114558.79110215866</v>
      </c>
      <c r="E161" s="9">
        <f t="shared" si="13"/>
        <v>381.86263700719559</v>
      </c>
      <c r="F161" s="9">
        <f t="shared" si="14"/>
        <v>1137.229946536328</v>
      </c>
    </row>
    <row r="162" spans="2:6">
      <c r="B162">
        <f t="shared" si="10"/>
        <v>154</v>
      </c>
      <c r="C162" s="1">
        <f t="shared" si="11"/>
        <v>46784</v>
      </c>
      <c r="D162" s="9">
        <f t="shared" si="12"/>
        <v>113421.56115562233</v>
      </c>
      <c r="E162" s="9">
        <f t="shared" si="13"/>
        <v>378.07187051874115</v>
      </c>
      <c r="F162" s="9">
        <f t="shared" si="14"/>
        <v>1141.0207130247825</v>
      </c>
    </row>
    <row r="163" spans="2:6">
      <c r="B163">
        <f t="shared" si="10"/>
        <v>155</v>
      </c>
      <c r="C163" s="1">
        <f t="shared" si="11"/>
        <v>46813</v>
      </c>
      <c r="D163" s="9">
        <f t="shared" si="12"/>
        <v>112280.54044259754</v>
      </c>
      <c r="E163" s="9">
        <f t="shared" si="13"/>
        <v>374.26846814199183</v>
      </c>
      <c r="F163" s="9">
        <f t="shared" si="14"/>
        <v>1144.8241154015318</v>
      </c>
    </row>
    <row r="164" spans="2:6">
      <c r="B164">
        <f t="shared" si="10"/>
        <v>156</v>
      </c>
      <c r="C164" s="1">
        <f t="shared" si="11"/>
        <v>46844</v>
      </c>
      <c r="D164" s="9">
        <f t="shared" si="12"/>
        <v>111135.71632719602</v>
      </c>
      <c r="E164" s="9">
        <f t="shared" si="13"/>
        <v>370.45238775732008</v>
      </c>
      <c r="F164" s="9">
        <f t="shared" si="14"/>
        <v>1148.6401957862035</v>
      </c>
    </row>
    <row r="165" spans="2:6">
      <c r="B165">
        <f t="shared" si="10"/>
        <v>157</v>
      </c>
      <c r="C165" s="1">
        <f t="shared" si="11"/>
        <v>46874</v>
      </c>
      <c r="D165" s="9">
        <f t="shared" si="12"/>
        <v>109987.07613140982</v>
      </c>
      <c r="E165" s="9">
        <f t="shared" si="13"/>
        <v>366.62358710469942</v>
      </c>
      <c r="F165" s="9">
        <f t="shared" si="14"/>
        <v>1152.4689964388242</v>
      </c>
    </row>
    <row r="166" spans="2:6">
      <c r="B166">
        <f t="shared" si="10"/>
        <v>158</v>
      </c>
      <c r="C166" s="1">
        <f t="shared" si="11"/>
        <v>46905</v>
      </c>
      <c r="D166" s="9">
        <f t="shared" si="12"/>
        <v>108834.607134971</v>
      </c>
      <c r="E166" s="9">
        <f t="shared" si="13"/>
        <v>362.78202378323664</v>
      </c>
      <c r="F166" s="9">
        <f t="shared" si="14"/>
        <v>1156.3105597602871</v>
      </c>
    </row>
    <row r="167" spans="2:6">
      <c r="B167">
        <f t="shared" si="10"/>
        <v>159</v>
      </c>
      <c r="C167" s="1">
        <f t="shared" si="11"/>
        <v>46935</v>
      </c>
      <c r="D167" s="9">
        <f t="shared" si="12"/>
        <v>107678.29657521071</v>
      </c>
      <c r="E167" s="9">
        <f t="shared" si="13"/>
        <v>358.9276552507024</v>
      </c>
      <c r="F167" s="9">
        <f t="shared" si="14"/>
        <v>1160.1649282928213</v>
      </c>
    </row>
    <row r="168" spans="2:6">
      <c r="B168">
        <f t="shared" si="10"/>
        <v>160</v>
      </c>
      <c r="C168" s="1">
        <f t="shared" si="11"/>
        <v>46966</v>
      </c>
      <c r="D168" s="9">
        <f t="shared" si="12"/>
        <v>106518.13164691789</v>
      </c>
      <c r="E168" s="9">
        <f t="shared" si="13"/>
        <v>355.06043882305966</v>
      </c>
      <c r="F168" s="9">
        <f t="shared" si="14"/>
        <v>1164.032144720464</v>
      </c>
    </row>
    <row r="169" spans="2:6">
      <c r="B169">
        <f t="shared" si="10"/>
        <v>161</v>
      </c>
      <c r="C169" s="1">
        <f t="shared" si="11"/>
        <v>46997</v>
      </c>
      <c r="D169" s="9">
        <f t="shared" si="12"/>
        <v>105354.09950219742</v>
      </c>
      <c r="E169" s="9">
        <f t="shared" si="13"/>
        <v>351.18033167399136</v>
      </c>
      <c r="F169" s="9">
        <f t="shared" si="14"/>
        <v>1167.9122518695324</v>
      </c>
    </row>
    <row r="170" spans="2:6">
      <c r="B170">
        <f t="shared" si="10"/>
        <v>162</v>
      </c>
      <c r="C170" s="1">
        <f t="shared" si="11"/>
        <v>47027</v>
      </c>
      <c r="D170" s="9">
        <f t="shared" si="12"/>
        <v>104186.18725032789</v>
      </c>
      <c r="E170" s="9">
        <f t="shared" si="13"/>
        <v>347.2872908344263</v>
      </c>
      <c r="F170" s="9">
        <f t="shared" si="14"/>
        <v>1171.8052927090973</v>
      </c>
    </row>
    <row r="171" spans="2:6">
      <c r="B171">
        <f t="shared" si="10"/>
        <v>163</v>
      </c>
      <c r="C171" s="1">
        <f t="shared" si="11"/>
        <v>47058</v>
      </c>
      <c r="D171" s="9">
        <f t="shared" si="12"/>
        <v>103014.3819576188</v>
      </c>
      <c r="E171" s="9">
        <f t="shared" si="13"/>
        <v>343.38127319206268</v>
      </c>
      <c r="F171" s="9">
        <f t="shared" si="14"/>
        <v>1175.711310351461</v>
      </c>
    </row>
    <row r="172" spans="2:6">
      <c r="B172">
        <f t="shared" si="10"/>
        <v>164</v>
      </c>
      <c r="C172" s="1">
        <f t="shared" si="11"/>
        <v>47088</v>
      </c>
      <c r="D172" s="9">
        <f t="shared" si="12"/>
        <v>101838.67064726734</v>
      </c>
      <c r="E172" s="9">
        <f t="shared" si="13"/>
        <v>339.46223549089115</v>
      </c>
      <c r="F172" s="9">
        <f t="shared" si="14"/>
        <v>1179.6303480526326</v>
      </c>
    </row>
    <row r="173" spans="2:6">
      <c r="B173">
        <f t="shared" si="10"/>
        <v>165</v>
      </c>
      <c r="C173" s="1">
        <f t="shared" si="11"/>
        <v>47119</v>
      </c>
      <c r="D173" s="9">
        <f t="shared" si="12"/>
        <v>100659.04029921471</v>
      </c>
      <c r="E173" s="9">
        <f t="shared" si="13"/>
        <v>335.53013433071573</v>
      </c>
      <c r="F173" s="9">
        <f t="shared" si="14"/>
        <v>1183.5624492128079</v>
      </c>
    </row>
    <row r="174" spans="2:6">
      <c r="B174">
        <f t="shared" si="10"/>
        <v>166</v>
      </c>
      <c r="C174" s="1">
        <f t="shared" si="11"/>
        <v>47150</v>
      </c>
      <c r="D174" s="9">
        <f t="shared" si="12"/>
        <v>99475.477850001902</v>
      </c>
      <c r="E174" s="9">
        <f t="shared" si="13"/>
        <v>331.58492616667303</v>
      </c>
      <c r="F174" s="9">
        <f t="shared" si="14"/>
        <v>1187.5076573768506</v>
      </c>
    </row>
    <row r="175" spans="2:6">
      <c r="B175">
        <f t="shared" si="10"/>
        <v>167</v>
      </c>
      <c r="C175" s="1">
        <f t="shared" si="11"/>
        <v>47178</v>
      </c>
      <c r="D175" s="9">
        <f t="shared" si="12"/>
        <v>98287.970192625056</v>
      </c>
      <c r="E175" s="9">
        <f t="shared" si="13"/>
        <v>327.62656730875023</v>
      </c>
      <c r="F175" s="9">
        <f t="shared" si="14"/>
        <v>1191.4660162347734</v>
      </c>
    </row>
    <row r="176" spans="2:6">
      <c r="B176">
        <f t="shared" si="10"/>
        <v>168</v>
      </c>
      <c r="C176" s="1">
        <f t="shared" si="11"/>
        <v>47209</v>
      </c>
      <c r="D176" s="9">
        <f t="shared" si="12"/>
        <v>97096.504176390285</v>
      </c>
      <c r="E176" s="9">
        <f t="shared" si="13"/>
        <v>323.65501392130096</v>
      </c>
      <c r="F176" s="9">
        <f t="shared" si="14"/>
        <v>1195.4375696222228</v>
      </c>
    </row>
    <row r="177" spans="2:6">
      <c r="B177">
        <f t="shared" si="10"/>
        <v>169</v>
      </c>
      <c r="C177" s="1">
        <f t="shared" si="11"/>
        <v>47239</v>
      </c>
      <c r="D177" s="9">
        <f t="shared" si="12"/>
        <v>95901.066606768058</v>
      </c>
      <c r="E177" s="9">
        <f t="shared" si="13"/>
        <v>319.67022202256021</v>
      </c>
      <c r="F177" s="9">
        <f t="shared" si="14"/>
        <v>1199.4223615209635</v>
      </c>
    </row>
    <row r="178" spans="2:6">
      <c r="B178">
        <f t="shared" si="10"/>
        <v>170</v>
      </c>
      <c r="C178" s="1">
        <f t="shared" si="11"/>
        <v>47270</v>
      </c>
      <c r="D178" s="9">
        <f t="shared" si="12"/>
        <v>94701.644245247095</v>
      </c>
      <c r="E178" s="9">
        <f t="shared" si="13"/>
        <v>315.67214748415699</v>
      </c>
      <c r="F178" s="9">
        <f t="shared" si="14"/>
        <v>1203.4204360593667</v>
      </c>
    </row>
    <row r="179" spans="2:6">
      <c r="B179">
        <f t="shared" si="10"/>
        <v>171</v>
      </c>
      <c r="C179" s="1">
        <f t="shared" si="11"/>
        <v>47300</v>
      </c>
      <c r="D179" s="9">
        <f t="shared" si="12"/>
        <v>93498.223809187723</v>
      </c>
      <c r="E179" s="9">
        <f t="shared" si="13"/>
        <v>311.66074603062572</v>
      </c>
      <c r="F179" s="9">
        <f t="shared" si="14"/>
        <v>1207.431837512898</v>
      </c>
    </row>
    <row r="180" spans="2:6">
      <c r="B180">
        <f t="shared" si="10"/>
        <v>172</v>
      </c>
      <c r="C180" s="1">
        <f t="shared" si="11"/>
        <v>47331</v>
      </c>
      <c r="D180" s="9">
        <f t="shared" si="12"/>
        <v>92290.791971674829</v>
      </c>
      <c r="E180" s="9">
        <f t="shared" si="13"/>
        <v>307.63597323891611</v>
      </c>
      <c r="F180" s="9">
        <f t="shared" si="14"/>
        <v>1211.4566103046077</v>
      </c>
    </row>
    <row r="181" spans="2:6">
      <c r="B181">
        <f t="shared" si="10"/>
        <v>173</v>
      </c>
      <c r="C181" s="1">
        <f t="shared" si="11"/>
        <v>47362</v>
      </c>
      <c r="D181" s="9">
        <f t="shared" si="12"/>
        <v>91079.33536137022</v>
      </c>
      <c r="E181" s="9">
        <f t="shared" si="13"/>
        <v>303.59778453790074</v>
      </c>
      <c r="F181" s="9">
        <f t="shared" si="14"/>
        <v>1215.494799005623</v>
      </c>
    </row>
    <row r="182" spans="2:6">
      <c r="B182">
        <f t="shared" si="10"/>
        <v>174</v>
      </c>
      <c r="C182" s="1">
        <f t="shared" si="11"/>
        <v>47392</v>
      </c>
      <c r="D182" s="9">
        <f t="shared" si="12"/>
        <v>89863.840562364596</v>
      </c>
      <c r="E182" s="9">
        <f t="shared" si="13"/>
        <v>299.546135207882</v>
      </c>
      <c r="F182" s="9">
        <f t="shared" si="14"/>
        <v>1219.5464483356418</v>
      </c>
    </row>
    <row r="183" spans="2:6">
      <c r="B183">
        <f t="shared" si="10"/>
        <v>175</v>
      </c>
      <c r="C183" s="1">
        <f t="shared" si="11"/>
        <v>47423</v>
      </c>
      <c r="D183" s="9">
        <f t="shared" si="12"/>
        <v>88644.294114028948</v>
      </c>
      <c r="E183" s="9">
        <f t="shared" si="13"/>
        <v>295.48098038009647</v>
      </c>
      <c r="F183" s="9">
        <f t="shared" si="14"/>
        <v>1223.6116031634272</v>
      </c>
    </row>
    <row r="184" spans="2:6">
      <c r="B184">
        <f t="shared" si="10"/>
        <v>176</v>
      </c>
      <c r="C184" s="1">
        <f t="shared" si="11"/>
        <v>47453</v>
      </c>
      <c r="D184" s="9">
        <f t="shared" si="12"/>
        <v>87420.682510865518</v>
      </c>
      <c r="E184" s="9">
        <f t="shared" si="13"/>
        <v>291.40227503621838</v>
      </c>
      <c r="F184" s="9">
        <f t="shared" si="14"/>
        <v>1227.6903085073054</v>
      </c>
    </row>
    <row r="185" spans="2:6">
      <c r="B185">
        <f t="shared" si="10"/>
        <v>177</v>
      </c>
      <c r="C185" s="1">
        <f t="shared" si="11"/>
        <v>47484</v>
      </c>
      <c r="D185" s="9">
        <f t="shared" si="12"/>
        <v>86192.992202358218</v>
      </c>
      <c r="E185" s="9">
        <f t="shared" si="13"/>
        <v>287.30997400786072</v>
      </c>
      <c r="F185" s="9">
        <f t="shared" si="14"/>
        <v>1231.7826095356629</v>
      </c>
    </row>
    <row r="186" spans="2:6">
      <c r="B186">
        <f t="shared" si="10"/>
        <v>178</v>
      </c>
      <c r="C186" s="1">
        <f t="shared" si="11"/>
        <v>47515</v>
      </c>
      <c r="D186" s="9">
        <f t="shared" si="12"/>
        <v>84961.209592822561</v>
      </c>
      <c r="E186" s="9">
        <f t="shared" si="13"/>
        <v>283.20403197607521</v>
      </c>
      <c r="F186" s="9">
        <f t="shared" si="14"/>
        <v>1235.8885515674485</v>
      </c>
    </row>
    <row r="187" spans="2:6">
      <c r="B187">
        <f t="shared" si="10"/>
        <v>179</v>
      </c>
      <c r="C187" s="1">
        <f t="shared" si="11"/>
        <v>47543</v>
      </c>
      <c r="D187" s="9">
        <f t="shared" si="12"/>
        <v>83725.321041255113</v>
      </c>
      <c r="E187" s="9">
        <f t="shared" si="13"/>
        <v>279.08440347085042</v>
      </c>
      <c r="F187" s="9">
        <f t="shared" si="14"/>
        <v>1240.0081800726732</v>
      </c>
    </row>
    <row r="188" spans="2:6">
      <c r="B188">
        <f t="shared" si="10"/>
        <v>180</v>
      </c>
      <c r="C188" s="1">
        <f t="shared" si="11"/>
        <v>47574</v>
      </c>
      <c r="D188" s="9">
        <f t="shared" si="12"/>
        <v>82485.312861182436</v>
      </c>
      <c r="E188" s="9">
        <f t="shared" si="13"/>
        <v>274.95104287060809</v>
      </c>
      <c r="F188" s="9">
        <f t="shared" si="14"/>
        <v>1244.1415406729157</v>
      </c>
    </row>
    <row r="189" spans="2:6">
      <c r="B189">
        <f t="shared" si="10"/>
        <v>181</v>
      </c>
      <c r="C189" s="1">
        <f t="shared" si="11"/>
        <v>47604</v>
      </c>
      <c r="D189" s="9">
        <f t="shared" si="12"/>
        <v>81241.171320509515</v>
      </c>
      <c r="E189" s="9">
        <f t="shared" si="13"/>
        <v>270.80390440169839</v>
      </c>
      <c r="F189" s="9">
        <f t="shared" si="14"/>
        <v>1248.2886791418252</v>
      </c>
    </row>
    <row r="190" spans="2:6">
      <c r="B190">
        <f t="shared" si="10"/>
        <v>182</v>
      </c>
      <c r="C190" s="1">
        <f t="shared" si="11"/>
        <v>47635</v>
      </c>
      <c r="D190" s="9">
        <f t="shared" si="12"/>
        <v>79992.882641367687</v>
      </c>
      <c r="E190" s="9">
        <f t="shared" si="13"/>
        <v>266.64294213789231</v>
      </c>
      <c r="F190" s="9">
        <f t="shared" si="14"/>
        <v>1252.4496414056314</v>
      </c>
    </row>
    <row r="191" spans="2:6">
      <c r="B191">
        <f t="shared" si="10"/>
        <v>183</v>
      </c>
      <c r="C191" s="1">
        <f t="shared" si="11"/>
        <v>47665</v>
      </c>
      <c r="D191" s="9">
        <f t="shared" si="12"/>
        <v>78740.432999962053</v>
      </c>
      <c r="E191" s="9">
        <f t="shared" si="13"/>
        <v>262.46810999987355</v>
      </c>
      <c r="F191" s="9">
        <f t="shared" si="14"/>
        <v>1256.6244735436501</v>
      </c>
    </row>
    <row r="192" spans="2:6">
      <c r="B192">
        <f t="shared" si="10"/>
        <v>184</v>
      </c>
      <c r="C192" s="1">
        <f t="shared" si="11"/>
        <v>47696</v>
      </c>
      <c r="D192" s="9">
        <f t="shared" si="12"/>
        <v>77483.808526418405</v>
      </c>
      <c r="E192" s="9">
        <f t="shared" si="13"/>
        <v>258.27936175472803</v>
      </c>
      <c r="F192" s="9">
        <f t="shared" si="14"/>
        <v>1260.8132217887955</v>
      </c>
    </row>
    <row r="193" spans="2:6">
      <c r="B193">
        <f t="shared" si="10"/>
        <v>185</v>
      </c>
      <c r="C193" s="1">
        <f t="shared" si="11"/>
        <v>47727</v>
      </c>
      <c r="D193" s="9">
        <f t="shared" si="12"/>
        <v>76222.995304629614</v>
      </c>
      <c r="E193" s="9">
        <f t="shared" si="13"/>
        <v>254.07665101543205</v>
      </c>
      <c r="F193" s="9">
        <f t="shared" si="14"/>
        <v>1265.0159325280915</v>
      </c>
    </row>
    <row r="194" spans="2:6">
      <c r="B194">
        <f t="shared" si="10"/>
        <v>186</v>
      </c>
      <c r="C194" s="1">
        <f t="shared" si="11"/>
        <v>47757</v>
      </c>
      <c r="D194" s="9">
        <f t="shared" si="12"/>
        <v>74957.979372101516</v>
      </c>
      <c r="E194" s="9">
        <f t="shared" si="13"/>
        <v>249.8599312403384</v>
      </c>
      <c r="F194" s="9">
        <f t="shared" si="14"/>
        <v>1269.2326523031852</v>
      </c>
    </row>
    <row r="195" spans="2:6">
      <c r="B195">
        <f t="shared" si="10"/>
        <v>187</v>
      </c>
      <c r="C195" s="1">
        <f t="shared" si="11"/>
        <v>47788</v>
      </c>
      <c r="D195" s="9">
        <f t="shared" si="12"/>
        <v>73688.746719798335</v>
      </c>
      <c r="E195" s="9">
        <f t="shared" si="13"/>
        <v>245.62915573266113</v>
      </c>
      <c r="F195" s="9">
        <f t="shared" si="14"/>
        <v>1273.4634278108626</v>
      </c>
    </row>
    <row r="196" spans="2:6">
      <c r="B196">
        <f t="shared" si="10"/>
        <v>188</v>
      </c>
      <c r="C196" s="1">
        <f t="shared" si="11"/>
        <v>47818</v>
      </c>
      <c r="D196" s="9">
        <f t="shared" si="12"/>
        <v>72415.283291987478</v>
      </c>
      <c r="E196" s="9">
        <f t="shared" si="13"/>
        <v>241.38427763995824</v>
      </c>
      <c r="F196" s="9">
        <f t="shared" si="14"/>
        <v>1277.7083059035654</v>
      </c>
    </row>
    <row r="197" spans="2:6">
      <c r="B197">
        <f t="shared" si="10"/>
        <v>189</v>
      </c>
      <c r="C197" s="1">
        <f t="shared" si="11"/>
        <v>47849</v>
      </c>
      <c r="D197" s="9">
        <f t="shared" si="12"/>
        <v>71137.574986083913</v>
      </c>
      <c r="E197" s="9">
        <f t="shared" si="13"/>
        <v>237.12524995361306</v>
      </c>
      <c r="F197" s="9">
        <f t="shared" si="14"/>
        <v>1281.9673335899106</v>
      </c>
    </row>
    <row r="198" spans="2:6">
      <c r="B198">
        <f t="shared" si="10"/>
        <v>190</v>
      </c>
      <c r="C198" s="1">
        <f t="shared" si="11"/>
        <v>47880</v>
      </c>
      <c r="D198" s="9">
        <f t="shared" si="12"/>
        <v>69855.607652494</v>
      </c>
      <c r="E198" s="9">
        <f t="shared" si="13"/>
        <v>232.85202550831335</v>
      </c>
      <c r="F198" s="9">
        <f t="shared" si="14"/>
        <v>1286.2405580352104</v>
      </c>
    </row>
    <row r="199" spans="2:6">
      <c r="B199">
        <f t="shared" si="10"/>
        <v>191</v>
      </c>
      <c r="C199" s="1">
        <f t="shared" si="11"/>
        <v>47908</v>
      </c>
      <c r="D199" s="9">
        <f t="shared" si="12"/>
        <v>68569.367094458794</v>
      </c>
      <c r="E199" s="9">
        <f t="shared" si="13"/>
        <v>228.56455698152934</v>
      </c>
      <c r="F199" s="9">
        <f t="shared" si="14"/>
        <v>1290.5280265619945</v>
      </c>
    </row>
    <row r="200" spans="2:6">
      <c r="B200">
        <f t="shared" si="10"/>
        <v>192</v>
      </c>
      <c r="C200" s="1">
        <f t="shared" si="11"/>
        <v>47939</v>
      </c>
      <c r="D200" s="9">
        <f t="shared" si="12"/>
        <v>67278.839067896799</v>
      </c>
      <c r="E200" s="9">
        <f t="shared" si="13"/>
        <v>224.26279689298931</v>
      </c>
      <c r="F200" s="9">
        <f t="shared" si="14"/>
        <v>1294.8297866505343</v>
      </c>
    </row>
    <row r="201" spans="2:6">
      <c r="B201">
        <f t="shared" si="10"/>
        <v>193</v>
      </c>
      <c r="C201" s="1">
        <f t="shared" si="11"/>
        <v>47969</v>
      </c>
      <c r="D201" s="9">
        <f t="shared" si="12"/>
        <v>65984.009281246268</v>
      </c>
      <c r="E201" s="9">
        <f t="shared" si="13"/>
        <v>219.94669760415422</v>
      </c>
      <c r="F201" s="9">
        <f t="shared" si="14"/>
        <v>1299.1458859393695</v>
      </c>
    </row>
    <row r="202" spans="2:6">
      <c r="B202">
        <f t="shared" si="10"/>
        <v>194</v>
      </c>
      <c r="C202" s="1">
        <f t="shared" si="11"/>
        <v>48000</v>
      </c>
      <c r="D202" s="9">
        <f t="shared" si="12"/>
        <v>64684.8633953069</v>
      </c>
      <c r="E202" s="9">
        <f t="shared" si="13"/>
        <v>215.61621131768968</v>
      </c>
      <c r="F202" s="9">
        <f t="shared" si="14"/>
        <v>1303.476372225834</v>
      </c>
    </row>
    <row r="203" spans="2:6">
      <c r="B203">
        <f t="shared" ref="B203:B266" si="15">B202+1</f>
        <v>195</v>
      </c>
      <c r="C203" s="1">
        <f t="shared" ref="C203:C266" si="16">DATE(YEAR(C202),MONTH(C202)+1,DAY(C202))</f>
        <v>48030</v>
      </c>
      <c r="D203" s="9">
        <f t="shared" ref="D203:D266" si="17">D202-F202</f>
        <v>63381.387023081064</v>
      </c>
      <c r="E203" s="9">
        <f t="shared" ref="E203:E266" si="18">D203*D$4/12</f>
        <v>211.27129007693688</v>
      </c>
      <c r="F203" s="9">
        <f t="shared" ref="F203:F266" si="19">F$6-E203</f>
        <v>1307.8212934665869</v>
      </c>
    </row>
    <row r="204" spans="2:6">
      <c r="B204">
        <f t="shared" si="15"/>
        <v>196</v>
      </c>
      <c r="C204" s="1">
        <f t="shared" si="16"/>
        <v>48061</v>
      </c>
      <c r="D204" s="9">
        <f t="shared" si="17"/>
        <v>62073.565729614478</v>
      </c>
      <c r="E204" s="9">
        <f t="shared" si="18"/>
        <v>206.91188576538161</v>
      </c>
      <c r="F204" s="9">
        <f t="shared" si="19"/>
        <v>1312.1806977781421</v>
      </c>
    </row>
    <row r="205" spans="2:6">
      <c r="B205">
        <f t="shared" si="15"/>
        <v>197</v>
      </c>
      <c r="C205" s="1">
        <f t="shared" si="16"/>
        <v>48092</v>
      </c>
      <c r="D205" s="9">
        <f t="shared" si="17"/>
        <v>60761.385031836333</v>
      </c>
      <c r="E205" s="9">
        <f t="shared" si="18"/>
        <v>202.53795010612112</v>
      </c>
      <c r="F205" s="9">
        <f t="shared" si="19"/>
        <v>1316.5546334374026</v>
      </c>
    </row>
    <row r="206" spans="2:6">
      <c r="B206">
        <f t="shared" si="15"/>
        <v>198</v>
      </c>
      <c r="C206" s="1">
        <f t="shared" si="16"/>
        <v>48122</v>
      </c>
      <c r="D206" s="9">
        <f t="shared" si="17"/>
        <v>59444.830398398932</v>
      </c>
      <c r="E206" s="9">
        <f t="shared" si="18"/>
        <v>198.14943466132979</v>
      </c>
      <c r="F206" s="9">
        <f t="shared" si="19"/>
        <v>1320.9431488821938</v>
      </c>
    </row>
    <row r="207" spans="2:6">
      <c r="B207">
        <f t="shared" si="15"/>
        <v>199</v>
      </c>
      <c r="C207" s="1">
        <f t="shared" si="16"/>
        <v>48153</v>
      </c>
      <c r="D207" s="9">
        <f t="shared" si="17"/>
        <v>58123.887249516738</v>
      </c>
      <c r="E207" s="9">
        <f t="shared" si="18"/>
        <v>193.74629083172246</v>
      </c>
      <c r="F207" s="9">
        <f t="shared" si="19"/>
        <v>1325.3462927118012</v>
      </c>
    </row>
    <row r="208" spans="2:6">
      <c r="B208">
        <f t="shared" si="15"/>
        <v>200</v>
      </c>
      <c r="C208" s="1">
        <f t="shared" si="16"/>
        <v>48183</v>
      </c>
      <c r="D208" s="9">
        <f t="shared" si="17"/>
        <v>56798.540956804936</v>
      </c>
      <c r="E208" s="9">
        <f t="shared" si="18"/>
        <v>189.32846985601645</v>
      </c>
      <c r="F208" s="9">
        <f t="shared" si="19"/>
        <v>1329.7641136875072</v>
      </c>
    </row>
    <row r="209" spans="2:6">
      <c r="B209">
        <f t="shared" si="15"/>
        <v>201</v>
      </c>
      <c r="C209" s="1">
        <f t="shared" si="16"/>
        <v>48214</v>
      </c>
      <c r="D209" s="9">
        <f t="shared" si="17"/>
        <v>55468.776843117426</v>
      </c>
      <c r="E209" s="9">
        <f t="shared" si="18"/>
        <v>184.89592281039143</v>
      </c>
      <c r="F209" s="9">
        <f t="shared" si="19"/>
        <v>1334.1966607331324</v>
      </c>
    </row>
    <row r="210" spans="2:6">
      <c r="B210">
        <f t="shared" si="15"/>
        <v>202</v>
      </c>
      <c r="C210" s="1">
        <f t="shared" si="16"/>
        <v>48245</v>
      </c>
      <c r="D210" s="9">
        <f t="shared" si="17"/>
        <v>54134.580182384292</v>
      </c>
      <c r="E210" s="9">
        <f t="shared" si="18"/>
        <v>180.44860060794767</v>
      </c>
      <c r="F210" s="9">
        <f t="shared" si="19"/>
        <v>1338.6439829355761</v>
      </c>
    </row>
    <row r="211" spans="2:6">
      <c r="B211">
        <f t="shared" si="15"/>
        <v>203</v>
      </c>
      <c r="C211" s="1">
        <f t="shared" si="16"/>
        <v>48274</v>
      </c>
      <c r="D211" s="9">
        <f t="shared" si="17"/>
        <v>52795.936199448719</v>
      </c>
      <c r="E211" s="9">
        <f t="shared" si="18"/>
        <v>175.98645399816238</v>
      </c>
      <c r="F211" s="9">
        <f t="shared" si="19"/>
        <v>1343.1061295453612</v>
      </c>
    </row>
    <row r="212" spans="2:6">
      <c r="B212">
        <f t="shared" si="15"/>
        <v>204</v>
      </c>
      <c r="C212" s="1">
        <f t="shared" si="16"/>
        <v>48305</v>
      </c>
      <c r="D212" s="9">
        <f t="shared" si="17"/>
        <v>51452.830069903357</v>
      </c>
      <c r="E212" s="9">
        <f t="shared" si="18"/>
        <v>171.50943356634454</v>
      </c>
      <c r="F212" s="9">
        <f t="shared" si="19"/>
        <v>1347.5831499771791</v>
      </c>
    </row>
    <row r="213" spans="2:6">
      <c r="B213">
        <f t="shared" si="15"/>
        <v>205</v>
      </c>
      <c r="C213" s="1">
        <f t="shared" si="16"/>
        <v>48335</v>
      </c>
      <c r="D213" s="9">
        <f t="shared" si="17"/>
        <v>50105.246919926176</v>
      </c>
      <c r="E213" s="9">
        <f t="shared" si="18"/>
        <v>167.01748973308727</v>
      </c>
      <c r="F213" s="9">
        <f t="shared" si="19"/>
        <v>1352.0750938104363</v>
      </c>
    </row>
    <row r="214" spans="2:6">
      <c r="B214">
        <f t="shared" si="15"/>
        <v>206</v>
      </c>
      <c r="C214" s="1">
        <f t="shared" si="16"/>
        <v>48366</v>
      </c>
      <c r="D214" s="9">
        <f t="shared" si="17"/>
        <v>48753.171826115737</v>
      </c>
      <c r="E214" s="9">
        <f t="shared" si="18"/>
        <v>162.51057275371912</v>
      </c>
      <c r="F214" s="9">
        <f t="shared" si="19"/>
        <v>1356.5820107898046</v>
      </c>
    </row>
    <row r="215" spans="2:6">
      <c r="B215">
        <f t="shared" si="15"/>
        <v>207</v>
      </c>
      <c r="C215" s="1">
        <f t="shared" si="16"/>
        <v>48396</v>
      </c>
      <c r="D215" s="9">
        <f t="shared" si="17"/>
        <v>47396.589815325933</v>
      </c>
      <c r="E215" s="9">
        <f t="shared" si="18"/>
        <v>157.98863271775312</v>
      </c>
      <c r="F215" s="9">
        <f t="shared" si="19"/>
        <v>1361.1039508257707</v>
      </c>
    </row>
    <row r="216" spans="2:6">
      <c r="B216">
        <f t="shared" si="15"/>
        <v>208</v>
      </c>
      <c r="C216" s="1">
        <f t="shared" si="16"/>
        <v>48427</v>
      </c>
      <c r="D216" s="9">
        <f t="shared" si="17"/>
        <v>46035.485864500166</v>
      </c>
      <c r="E216" s="9">
        <f t="shared" si="18"/>
        <v>153.45161954833389</v>
      </c>
      <c r="F216" s="9">
        <f t="shared" si="19"/>
        <v>1365.6409639951898</v>
      </c>
    </row>
    <row r="217" spans="2:6">
      <c r="B217">
        <f t="shared" si="15"/>
        <v>209</v>
      </c>
      <c r="C217" s="1">
        <f t="shared" si="16"/>
        <v>48458</v>
      </c>
      <c r="D217" s="9">
        <f t="shared" si="17"/>
        <v>44669.844900504977</v>
      </c>
      <c r="E217" s="9">
        <f t="shared" si="18"/>
        <v>148.89948300168325</v>
      </c>
      <c r="F217" s="9">
        <f t="shared" si="19"/>
        <v>1370.1931005418405</v>
      </c>
    </row>
    <row r="218" spans="2:6">
      <c r="B218">
        <f t="shared" si="15"/>
        <v>210</v>
      </c>
      <c r="C218" s="1">
        <f t="shared" si="16"/>
        <v>48488</v>
      </c>
      <c r="D218" s="9">
        <f t="shared" si="17"/>
        <v>43299.65179996314</v>
      </c>
      <c r="E218" s="9">
        <f t="shared" si="18"/>
        <v>144.33217266654381</v>
      </c>
      <c r="F218" s="9">
        <f t="shared" si="19"/>
        <v>1374.7604108769799</v>
      </c>
    </row>
    <row r="219" spans="2:6">
      <c r="B219">
        <f t="shared" si="15"/>
        <v>211</v>
      </c>
      <c r="C219" s="1">
        <f t="shared" si="16"/>
        <v>48519</v>
      </c>
      <c r="D219" s="9">
        <f t="shared" si="17"/>
        <v>41924.891389086159</v>
      </c>
      <c r="E219" s="9">
        <f t="shared" si="18"/>
        <v>139.74963796362053</v>
      </c>
      <c r="F219" s="9">
        <f t="shared" si="19"/>
        <v>1379.3429455799032</v>
      </c>
    </row>
    <row r="220" spans="2:6">
      <c r="B220">
        <f t="shared" si="15"/>
        <v>212</v>
      </c>
      <c r="C220" s="1">
        <f t="shared" si="16"/>
        <v>48549</v>
      </c>
      <c r="D220" s="9">
        <f t="shared" si="17"/>
        <v>40545.548443506254</v>
      </c>
      <c r="E220" s="9">
        <f t="shared" si="18"/>
        <v>135.15182814502086</v>
      </c>
      <c r="F220" s="9">
        <f t="shared" si="19"/>
        <v>1383.9407553985029</v>
      </c>
    </row>
    <row r="221" spans="2:6">
      <c r="B221">
        <f t="shared" si="15"/>
        <v>213</v>
      </c>
      <c r="C221" s="1">
        <f t="shared" si="16"/>
        <v>48580</v>
      </c>
      <c r="D221" s="9">
        <f t="shared" si="17"/>
        <v>39161.607688107753</v>
      </c>
      <c r="E221" s="9">
        <f t="shared" si="18"/>
        <v>130.53869229369252</v>
      </c>
      <c r="F221" s="9">
        <f t="shared" si="19"/>
        <v>1388.5538912498312</v>
      </c>
    </row>
    <row r="222" spans="2:6">
      <c r="B222">
        <f t="shared" si="15"/>
        <v>214</v>
      </c>
      <c r="C222" s="1">
        <f t="shared" si="16"/>
        <v>48611</v>
      </c>
      <c r="D222" s="9">
        <f t="shared" si="17"/>
        <v>37773.053796857923</v>
      </c>
      <c r="E222" s="9">
        <f t="shared" si="18"/>
        <v>125.91017932285975</v>
      </c>
      <c r="F222" s="9">
        <f t="shared" si="19"/>
        <v>1393.182404220664</v>
      </c>
    </row>
    <row r="223" spans="2:6">
      <c r="B223">
        <f t="shared" si="15"/>
        <v>215</v>
      </c>
      <c r="C223" s="1">
        <f t="shared" si="16"/>
        <v>48639</v>
      </c>
      <c r="D223" s="9">
        <f t="shared" si="17"/>
        <v>36379.871392637258</v>
      </c>
      <c r="E223" s="9">
        <f t="shared" si="18"/>
        <v>121.26623797545754</v>
      </c>
      <c r="F223" s="9">
        <f t="shared" si="19"/>
        <v>1397.8263455680662</v>
      </c>
    </row>
    <row r="224" spans="2:6">
      <c r="B224">
        <f t="shared" si="15"/>
        <v>216</v>
      </c>
      <c r="C224" s="1">
        <f t="shared" si="16"/>
        <v>48670</v>
      </c>
      <c r="D224" s="9">
        <f t="shared" si="17"/>
        <v>34982.045047069194</v>
      </c>
      <c r="E224" s="9">
        <f t="shared" si="18"/>
        <v>116.60681682356397</v>
      </c>
      <c r="F224" s="9">
        <f t="shared" si="19"/>
        <v>1402.4857667199597</v>
      </c>
    </row>
    <row r="225" spans="2:6">
      <c r="B225">
        <f t="shared" si="15"/>
        <v>217</v>
      </c>
      <c r="C225" s="1">
        <f t="shared" si="16"/>
        <v>48700</v>
      </c>
      <c r="D225" s="9">
        <f t="shared" si="17"/>
        <v>33579.559280349233</v>
      </c>
      <c r="E225" s="9">
        <f t="shared" si="18"/>
        <v>111.93186426783079</v>
      </c>
      <c r="F225" s="9">
        <f t="shared" si="19"/>
        <v>1407.1607192756928</v>
      </c>
    </row>
    <row r="226" spans="2:6">
      <c r="B226">
        <f t="shared" si="15"/>
        <v>218</v>
      </c>
      <c r="C226" s="1">
        <f t="shared" si="16"/>
        <v>48731</v>
      </c>
      <c r="D226" s="9">
        <f t="shared" si="17"/>
        <v>32172.39856107354</v>
      </c>
      <c r="E226" s="9">
        <f t="shared" si="18"/>
        <v>107.24132853691179</v>
      </c>
      <c r="F226" s="9">
        <f t="shared" si="19"/>
        <v>1411.8512550066118</v>
      </c>
    </row>
    <row r="227" spans="2:6">
      <c r="B227">
        <f t="shared" si="15"/>
        <v>219</v>
      </c>
      <c r="C227" s="1">
        <f t="shared" si="16"/>
        <v>48761</v>
      </c>
      <c r="D227" s="9">
        <f t="shared" si="17"/>
        <v>30760.547306066928</v>
      </c>
      <c r="E227" s="9">
        <f t="shared" si="18"/>
        <v>102.53515768688976</v>
      </c>
      <c r="F227" s="9">
        <f t="shared" si="19"/>
        <v>1416.5574258566339</v>
      </c>
    </row>
    <row r="228" spans="2:6">
      <c r="B228">
        <f t="shared" si="15"/>
        <v>220</v>
      </c>
      <c r="C228" s="1">
        <f t="shared" si="16"/>
        <v>48792</v>
      </c>
      <c r="D228" s="9">
        <f t="shared" si="17"/>
        <v>29343.989880210294</v>
      </c>
      <c r="E228" s="9">
        <f t="shared" si="18"/>
        <v>97.813299600700987</v>
      </c>
      <c r="F228" s="9">
        <f t="shared" si="19"/>
        <v>1421.2792839428228</v>
      </c>
    </row>
    <row r="229" spans="2:6">
      <c r="B229">
        <f t="shared" si="15"/>
        <v>221</v>
      </c>
      <c r="C229" s="1">
        <f t="shared" si="16"/>
        <v>48823</v>
      </c>
      <c r="D229" s="9">
        <f t="shared" si="17"/>
        <v>27922.710596267472</v>
      </c>
      <c r="E229" s="9">
        <f t="shared" si="18"/>
        <v>93.075701987558247</v>
      </c>
      <c r="F229" s="9">
        <f t="shared" si="19"/>
        <v>1426.0168815559655</v>
      </c>
    </row>
    <row r="230" spans="2:6">
      <c r="B230">
        <f t="shared" si="15"/>
        <v>222</v>
      </c>
      <c r="C230" s="1">
        <f t="shared" si="16"/>
        <v>48853</v>
      </c>
      <c r="D230" s="9">
        <f t="shared" si="17"/>
        <v>26496.693714711506</v>
      </c>
      <c r="E230" s="9">
        <f t="shared" si="18"/>
        <v>88.322312382371692</v>
      </c>
      <c r="F230" s="9">
        <f t="shared" si="19"/>
        <v>1430.7702711611521</v>
      </c>
    </row>
    <row r="231" spans="2:6">
      <c r="B231">
        <f t="shared" si="15"/>
        <v>223</v>
      </c>
      <c r="C231" s="1">
        <f t="shared" si="16"/>
        <v>48884</v>
      </c>
      <c r="D231" s="9">
        <f t="shared" si="17"/>
        <v>25065.923443550353</v>
      </c>
      <c r="E231" s="9">
        <f t="shared" si="18"/>
        <v>83.553078145167845</v>
      </c>
      <c r="F231" s="9">
        <f t="shared" si="19"/>
        <v>1435.5395053983559</v>
      </c>
    </row>
    <row r="232" spans="2:6">
      <c r="B232">
        <f t="shared" si="15"/>
        <v>224</v>
      </c>
      <c r="C232" s="1">
        <f t="shared" si="16"/>
        <v>48914</v>
      </c>
      <c r="D232" s="9">
        <f t="shared" si="17"/>
        <v>23630.383938151997</v>
      </c>
      <c r="E232" s="9">
        <f t="shared" si="18"/>
        <v>78.767946460506664</v>
      </c>
      <c r="F232" s="9">
        <f t="shared" si="19"/>
        <v>1440.324637083017</v>
      </c>
    </row>
    <row r="233" spans="2:6">
      <c r="B233">
        <f t="shared" si="15"/>
        <v>225</v>
      </c>
      <c r="C233" s="1">
        <f t="shared" si="16"/>
        <v>48945</v>
      </c>
      <c r="D233" s="9">
        <f t="shared" si="17"/>
        <v>22190.059301068981</v>
      </c>
      <c r="E233" s="9">
        <f t="shared" si="18"/>
        <v>73.966864336896606</v>
      </c>
      <c r="F233" s="9">
        <f t="shared" si="19"/>
        <v>1445.1257192066271</v>
      </c>
    </row>
    <row r="234" spans="2:6">
      <c r="B234">
        <f t="shared" si="15"/>
        <v>226</v>
      </c>
      <c r="C234" s="1">
        <f t="shared" si="16"/>
        <v>48976</v>
      </c>
      <c r="D234" s="9">
        <f t="shared" si="17"/>
        <v>20744.933581862355</v>
      </c>
      <c r="E234" s="9">
        <f t="shared" si="18"/>
        <v>69.149778606207846</v>
      </c>
      <c r="F234" s="9">
        <f t="shared" si="19"/>
        <v>1449.9428049373159</v>
      </c>
    </row>
    <row r="235" spans="2:6">
      <c r="B235">
        <f t="shared" si="15"/>
        <v>227</v>
      </c>
      <c r="C235" s="1">
        <f t="shared" si="16"/>
        <v>49004</v>
      </c>
      <c r="D235" s="9">
        <f t="shared" si="17"/>
        <v>19294.990776925039</v>
      </c>
      <c r="E235" s="9">
        <f t="shared" si="18"/>
        <v>64.316635923083467</v>
      </c>
      <c r="F235" s="9">
        <f t="shared" si="19"/>
        <v>1454.7759476204403</v>
      </c>
    </row>
    <row r="236" spans="2:6">
      <c r="B236">
        <f t="shared" si="15"/>
        <v>228</v>
      </c>
      <c r="C236" s="1">
        <f t="shared" si="16"/>
        <v>49035</v>
      </c>
      <c r="D236" s="9">
        <f t="shared" si="17"/>
        <v>17840.214829304598</v>
      </c>
      <c r="E236" s="9">
        <f t="shared" si="18"/>
        <v>59.467382764348656</v>
      </c>
      <c r="F236" s="9">
        <f t="shared" si="19"/>
        <v>1459.625200779175</v>
      </c>
    </row>
    <row r="237" spans="2:6">
      <c r="B237">
        <f t="shared" si="15"/>
        <v>229</v>
      </c>
      <c r="C237" s="1">
        <f t="shared" si="16"/>
        <v>49065</v>
      </c>
      <c r="D237" s="9">
        <f t="shared" si="17"/>
        <v>16380.589628525422</v>
      </c>
      <c r="E237" s="9">
        <f t="shared" si="18"/>
        <v>54.601965428418076</v>
      </c>
      <c r="F237" s="9">
        <f t="shared" si="19"/>
        <v>1464.4906181151057</v>
      </c>
    </row>
    <row r="238" spans="2:6">
      <c r="B238">
        <f t="shared" si="15"/>
        <v>230</v>
      </c>
      <c r="C238" s="1">
        <f t="shared" si="16"/>
        <v>49096</v>
      </c>
      <c r="D238" s="9">
        <f t="shared" si="17"/>
        <v>14916.099010410317</v>
      </c>
      <c r="E238" s="9">
        <f t="shared" si="18"/>
        <v>49.720330034701057</v>
      </c>
      <c r="F238" s="9">
        <f t="shared" si="19"/>
        <v>1469.3722535088227</v>
      </c>
    </row>
    <row r="239" spans="2:6">
      <c r="B239">
        <f t="shared" si="15"/>
        <v>231</v>
      </c>
      <c r="C239" s="1">
        <f t="shared" si="16"/>
        <v>49126</v>
      </c>
      <c r="D239" s="9">
        <f t="shared" si="17"/>
        <v>13446.726756901495</v>
      </c>
      <c r="E239" s="9">
        <f t="shared" si="18"/>
        <v>44.822422523004981</v>
      </c>
      <c r="F239" s="9">
        <f t="shared" si="19"/>
        <v>1474.2701610205188</v>
      </c>
    </row>
    <row r="240" spans="2:6">
      <c r="B240">
        <f t="shared" si="15"/>
        <v>232</v>
      </c>
      <c r="C240" s="1">
        <f t="shared" si="16"/>
        <v>49157</v>
      </c>
      <c r="D240" s="9">
        <f t="shared" si="17"/>
        <v>11972.456595880976</v>
      </c>
      <c r="E240" s="9">
        <f t="shared" si="18"/>
        <v>39.908188652936587</v>
      </c>
      <c r="F240" s="9">
        <f t="shared" si="19"/>
        <v>1479.1843948905871</v>
      </c>
    </row>
    <row r="241" spans="2:6">
      <c r="B241">
        <f t="shared" si="15"/>
        <v>233</v>
      </c>
      <c r="C241" s="1">
        <f t="shared" si="16"/>
        <v>49188</v>
      </c>
      <c r="D241" s="9">
        <f t="shared" si="17"/>
        <v>10493.272200990388</v>
      </c>
      <c r="E241" s="9">
        <f t="shared" si="18"/>
        <v>34.977574003301292</v>
      </c>
      <c r="F241" s="9">
        <f t="shared" si="19"/>
        <v>1484.1150095402224</v>
      </c>
    </row>
    <row r="242" spans="2:6">
      <c r="B242">
        <f t="shared" si="15"/>
        <v>234</v>
      </c>
      <c r="C242" s="1">
        <f t="shared" si="16"/>
        <v>49218</v>
      </c>
      <c r="D242" s="9">
        <f t="shared" si="17"/>
        <v>9009.1571914501656</v>
      </c>
      <c r="E242" s="9">
        <f t="shared" si="18"/>
        <v>30.030523971500553</v>
      </c>
      <c r="F242" s="9">
        <f t="shared" si="19"/>
        <v>1489.0620595720231</v>
      </c>
    </row>
    <row r="243" spans="2:6">
      <c r="B243">
        <f t="shared" si="15"/>
        <v>235</v>
      </c>
      <c r="C243" s="1">
        <f t="shared" si="16"/>
        <v>49249</v>
      </c>
      <c r="D243" s="9">
        <f t="shared" si="17"/>
        <v>7520.0951318781426</v>
      </c>
      <c r="E243" s="9">
        <f t="shared" si="18"/>
        <v>25.066983772927145</v>
      </c>
      <c r="F243" s="9">
        <f t="shared" si="19"/>
        <v>1494.0255997705965</v>
      </c>
    </row>
    <row r="244" spans="2:6">
      <c r="B244">
        <f t="shared" si="15"/>
        <v>236</v>
      </c>
      <c r="C244" s="1">
        <f t="shared" si="16"/>
        <v>49279</v>
      </c>
      <c r="D244" s="9">
        <f t="shared" si="17"/>
        <v>6026.0695321075464</v>
      </c>
      <c r="E244" s="9">
        <f t="shared" si="18"/>
        <v>20.086898440358489</v>
      </c>
      <c r="F244" s="9">
        <f t="shared" si="19"/>
        <v>1499.0056851031652</v>
      </c>
    </row>
    <row r="245" spans="2:6">
      <c r="B245">
        <f t="shared" si="15"/>
        <v>237</v>
      </c>
      <c r="C245" s="1">
        <f t="shared" si="16"/>
        <v>49310</v>
      </c>
      <c r="D245" s="9">
        <f t="shared" si="17"/>
        <v>4527.0638470043814</v>
      </c>
      <c r="E245" s="9">
        <f t="shared" si="18"/>
        <v>15.090212823347938</v>
      </c>
      <c r="F245" s="9">
        <f t="shared" si="19"/>
        <v>1504.0023707201758</v>
      </c>
    </row>
    <row r="246" spans="2:6">
      <c r="B246">
        <f t="shared" si="15"/>
        <v>238</v>
      </c>
      <c r="C246" s="1">
        <f t="shared" si="16"/>
        <v>49341</v>
      </c>
      <c r="D246" s="9">
        <f t="shared" si="17"/>
        <v>3023.0614762842056</v>
      </c>
      <c r="E246" s="9">
        <f t="shared" si="18"/>
        <v>10.076871587614018</v>
      </c>
      <c r="F246" s="9">
        <f t="shared" si="19"/>
        <v>1509.0157119559096</v>
      </c>
    </row>
    <row r="247" spans="2:6">
      <c r="B247">
        <f t="shared" si="15"/>
        <v>239</v>
      </c>
      <c r="C247" s="1">
        <f t="shared" si="16"/>
        <v>49369</v>
      </c>
      <c r="D247" s="9">
        <f t="shared" si="17"/>
        <v>1514.0457643282959</v>
      </c>
      <c r="E247" s="9">
        <f t="shared" si="18"/>
        <v>5.0468192144276527</v>
      </c>
      <c r="F247" s="9">
        <f t="shared" si="19"/>
        <v>1514.0457643290961</v>
      </c>
    </row>
    <row r="248" spans="2:6">
      <c r="B248">
        <f t="shared" si="15"/>
        <v>240</v>
      </c>
      <c r="C248" s="1">
        <f t="shared" si="16"/>
        <v>49400</v>
      </c>
      <c r="D248" s="9">
        <f t="shared" si="17"/>
        <v>-8.0012796388473362E-10</v>
      </c>
      <c r="E248" s="9">
        <f t="shared" si="18"/>
        <v>-2.6670932129491118E-12</v>
      </c>
      <c r="F248" s="9">
        <f t="shared" si="19"/>
        <v>1519.0925835435264</v>
      </c>
    </row>
    <row r="249" spans="2:6">
      <c r="B249">
        <f t="shared" si="15"/>
        <v>241</v>
      </c>
      <c r="C249" s="1">
        <f t="shared" si="16"/>
        <v>49430</v>
      </c>
      <c r="D249" s="9">
        <f t="shared" si="17"/>
        <v>-1519.0925835443265</v>
      </c>
      <c r="E249" s="9">
        <f t="shared" si="18"/>
        <v>-5.0636419451477552</v>
      </c>
      <c r="F249" s="9">
        <f t="shared" si="19"/>
        <v>1524.1562254886715</v>
      </c>
    </row>
    <row r="250" spans="2:6">
      <c r="B250">
        <f t="shared" si="15"/>
        <v>242</v>
      </c>
      <c r="C250" s="1">
        <f t="shared" si="16"/>
        <v>49461</v>
      </c>
      <c r="D250" s="9">
        <f t="shared" si="17"/>
        <v>-3043.248809032998</v>
      </c>
      <c r="E250" s="9">
        <f t="shared" si="18"/>
        <v>-10.144162696776659</v>
      </c>
      <c r="F250" s="9">
        <f t="shared" si="19"/>
        <v>1529.2367462403004</v>
      </c>
    </row>
    <row r="251" spans="2:6">
      <c r="B251">
        <f t="shared" si="15"/>
        <v>243</v>
      </c>
      <c r="C251" s="1">
        <f t="shared" si="16"/>
        <v>49491</v>
      </c>
      <c r="D251" s="9">
        <f t="shared" si="17"/>
        <v>-4572.4855552732988</v>
      </c>
      <c r="E251" s="9">
        <f t="shared" si="18"/>
        <v>-15.241618517577663</v>
      </c>
      <c r="F251" s="9">
        <f t="shared" si="19"/>
        <v>1534.3342020611015</v>
      </c>
    </row>
    <row r="252" spans="2:6">
      <c r="B252">
        <f t="shared" si="15"/>
        <v>244</v>
      </c>
      <c r="C252" s="1">
        <f t="shared" si="16"/>
        <v>49522</v>
      </c>
      <c r="D252" s="9">
        <f t="shared" si="17"/>
        <v>-6106.8197573344005</v>
      </c>
      <c r="E252" s="9">
        <f t="shared" si="18"/>
        <v>-20.356065857781335</v>
      </c>
      <c r="F252" s="9">
        <f t="shared" si="19"/>
        <v>1539.4486494013049</v>
      </c>
    </row>
    <row r="253" spans="2:6">
      <c r="B253">
        <f t="shared" si="15"/>
        <v>245</v>
      </c>
      <c r="C253" s="1">
        <f t="shared" si="16"/>
        <v>49553</v>
      </c>
      <c r="D253" s="9">
        <f t="shared" si="17"/>
        <v>-7646.2684067357059</v>
      </c>
      <c r="E253" s="9">
        <f t="shared" si="18"/>
        <v>-25.487561355785687</v>
      </c>
      <c r="F253" s="9">
        <f t="shared" si="19"/>
        <v>1544.5801448993093</v>
      </c>
    </row>
    <row r="254" spans="2:6">
      <c r="B254">
        <f t="shared" si="15"/>
        <v>246</v>
      </c>
      <c r="C254" s="1">
        <f t="shared" si="16"/>
        <v>49583</v>
      </c>
      <c r="D254" s="9">
        <f t="shared" si="17"/>
        <v>-9190.8485516350156</v>
      </c>
      <c r="E254" s="9">
        <f t="shared" si="18"/>
        <v>-30.636161838783384</v>
      </c>
      <c r="F254" s="9">
        <f t="shared" si="19"/>
        <v>1549.7287453823071</v>
      </c>
    </row>
    <row r="255" spans="2:6">
      <c r="B255">
        <f t="shared" si="15"/>
        <v>247</v>
      </c>
      <c r="C255" s="1">
        <f t="shared" si="16"/>
        <v>49614</v>
      </c>
      <c r="D255" s="9">
        <f t="shared" si="17"/>
        <v>-10740.577297017322</v>
      </c>
      <c r="E255" s="9">
        <f t="shared" si="18"/>
        <v>-35.80192432339107</v>
      </c>
      <c r="F255" s="9">
        <f t="shared" si="19"/>
        <v>1554.8945078669149</v>
      </c>
    </row>
    <row r="256" spans="2:6">
      <c r="B256">
        <f t="shared" si="15"/>
        <v>248</v>
      </c>
      <c r="C256" s="1">
        <f t="shared" si="16"/>
        <v>49644</v>
      </c>
      <c r="D256" s="9">
        <f t="shared" si="17"/>
        <v>-12295.471804884237</v>
      </c>
      <c r="E256" s="9">
        <f t="shared" si="18"/>
        <v>-40.984906016280789</v>
      </c>
      <c r="F256" s="9">
        <f t="shared" si="19"/>
        <v>1560.0774895598045</v>
      </c>
    </row>
    <row r="257" spans="2:6">
      <c r="B257">
        <f t="shared" si="15"/>
        <v>249</v>
      </c>
      <c r="C257" s="1">
        <f t="shared" si="16"/>
        <v>49675</v>
      </c>
      <c r="D257" s="9">
        <f t="shared" si="17"/>
        <v>-13855.549294444041</v>
      </c>
      <c r="E257" s="9">
        <f t="shared" si="18"/>
        <v>-46.18516431481347</v>
      </c>
      <c r="F257" s="9">
        <f t="shared" si="19"/>
        <v>1565.2777478583371</v>
      </c>
    </row>
    <row r="258" spans="2:6">
      <c r="B258">
        <f t="shared" si="15"/>
        <v>250</v>
      </c>
      <c r="C258" s="1">
        <f t="shared" si="16"/>
        <v>49706</v>
      </c>
      <c r="D258" s="9">
        <f t="shared" si="17"/>
        <v>-15420.827042302379</v>
      </c>
      <c r="E258" s="9">
        <f t="shared" si="18"/>
        <v>-51.402756807674592</v>
      </c>
      <c r="F258" s="9">
        <f t="shared" si="19"/>
        <v>1570.4953403511984</v>
      </c>
    </row>
    <row r="259" spans="2:6">
      <c r="B259">
        <f t="shared" si="15"/>
        <v>251</v>
      </c>
      <c r="C259" s="1">
        <f t="shared" si="16"/>
        <v>49735</v>
      </c>
      <c r="D259" s="9">
        <f t="shared" si="17"/>
        <v>-16991.322382653576</v>
      </c>
      <c r="E259" s="9">
        <f t="shared" si="18"/>
        <v>-56.637741275511921</v>
      </c>
      <c r="F259" s="9">
        <f t="shared" si="19"/>
        <v>1575.7303248190356</v>
      </c>
    </row>
    <row r="260" spans="2:6">
      <c r="B260">
        <f t="shared" si="15"/>
        <v>252</v>
      </c>
      <c r="C260" s="1">
        <f t="shared" si="16"/>
        <v>49766</v>
      </c>
      <c r="D260" s="9">
        <f t="shared" si="17"/>
        <v>-18567.052707472612</v>
      </c>
      <c r="E260" s="9">
        <f t="shared" si="18"/>
        <v>-61.890175691575372</v>
      </c>
      <c r="F260" s="9">
        <f t="shared" si="19"/>
        <v>1580.9827592350991</v>
      </c>
    </row>
    <row r="261" spans="2:6">
      <c r="B261">
        <f t="shared" si="15"/>
        <v>253</v>
      </c>
      <c r="C261" s="1">
        <f t="shared" si="16"/>
        <v>49796</v>
      </c>
      <c r="D261" s="9">
        <f t="shared" si="17"/>
        <v>-20148.035466707712</v>
      </c>
      <c r="E261" s="9">
        <f t="shared" si="18"/>
        <v>-67.160118222359031</v>
      </c>
      <c r="F261" s="9">
        <f t="shared" si="19"/>
        <v>1586.2527017658826</v>
      </c>
    </row>
    <row r="262" spans="2:6">
      <c r="B262">
        <f t="shared" si="15"/>
        <v>254</v>
      </c>
      <c r="C262" s="1">
        <f t="shared" si="16"/>
        <v>49827</v>
      </c>
      <c r="D262" s="9">
        <f t="shared" si="17"/>
        <v>-21734.288168473595</v>
      </c>
      <c r="E262" s="9">
        <f t="shared" si="18"/>
        <v>-72.44762722824531</v>
      </c>
      <c r="F262" s="9">
        <f t="shared" si="19"/>
        <v>1591.5402107717689</v>
      </c>
    </row>
    <row r="263" spans="2:6">
      <c r="B263">
        <f t="shared" si="15"/>
        <v>255</v>
      </c>
      <c r="C263" s="1">
        <f t="shared" si="16"/>
        <v>49857</v>
      </c>
      <c r="D263" s="9">
        <f t="shared" si="17"/>
        <v>-23325.828379245362</v>
      </c>
      <c r="E263" s="9">
        <f t="shared" si="18"/>
        <v>-77.752761264151204</v>
      </c>
      <c r="F263" s="9">
        <f t="shared" si="19"/>
        <v>1596.8453448076748</v>
      </c>
    </row>
    <row r="264" spans="2:6">
      <c r="B264">
        <f t="shared" si="15"/>
        <v>256</v>
      </c>
      <c r="C264" s="1">
        <f t="shared" si="16"/>
        <v>49888</v>
      </c>
      <c r="D264" s="9">
        <f t="shared" si="17"/>
        <v>-24922.673724053038</v>
      </c>
      <c r="E264" s="9">
        <f t="shared" si="18"/>
        <v>-83.075579080176794</v>
      </c>
      <c r="F264" s="9">
        <f t="shared" si="19"/>
        <v>1602.1681626237005</v>
      </c>
    </row>
    <row r="265" spans="2:6">
      <c r="B265">
        <f t="shared" si="15"/>
        <v>257</v>
      </c>
      <c r="C265" s="1">
        <f t="shared" si="16"/>
        <v>49919</v>
      </c>
      <c r="D265" s="9">
        <f t="shared" si="17"/>
        <v>-26524.841886676739</v>
      </c>
      <c r="E265" s="9">
        <f t="shared" si="18"/>
        <v>-88.416139622255798</v>
      </c>
      <c r="F265" s="9">
        <f t="shared" si="19"/>
        <v>1607.5087231657794</v>
      </c>
    </row>
    <row r="266" spans="2:6">
      <c r="B266">
        <f t="shared" si="15"/>
        <v>258</v>
      </c>
      <c r="C266" s="1">
        <f t="shared" si="16"/>
        <v>49949</v>
      </c>
      <c r="D266" s="9">
        <f t="shared" si="17"/>
        <v>-28132.350609842517</v>
      </c>
      <c r="E266" s="9">
        <f t="shared" si="18"/>
        <v>-93.7745020328084</v>
      </c>
      <c r="F266" s="9">
        <f t="shared" si="19"/>
        <v>1612.8670855763321</v>
      </c>
    </row>
    <row r="267" spans="2:6">
      <c r="B267">
        <f t="shared" ref="B267:B330" si="20">B266+1</f>
        <v>259</v>
      </c>
      <c r="C267" s="1">
        <f t="shared" ref="C267:C330" si="21">DATE(YEAR(C266),MONTH(C266)+1,DAY(C266))</f>
        <v>49980</v>
      </c>
      <c r="D267" s="9">
        <f t="shared" ref="D267:D330" si="22">D266-F266</f>
        <v>-29745.217695418847</v>
      </c>
      <c r="E267" s="9">
        <f t="shared" ref="E267:E330" si="23">D267*D$4/12</f>
        <v>-99.150725651396158</v>
      </c>
      <c r="F267" s="9">
        <f t="shared" ref="F267:F330" si="24">F$6-E267</f>
        <v>1618.2433091949199</v>
      </c>
    </row>
    <row r="268" spans="2:6">
      <c r="B268">
        <f t="shared" si="20"/>
        <v>260</v>
      </c>
      <c r="C268" s="1">
        <f t="shared" si="21"/>
        <v>50010</v>
      </c>
      <c r="D268" s="9">
        <f t="shared" si="22"/>
        <v>-31363.461004613768</v>
      </c>
      <c r="E268" s="9">
        <f t="shared" si="23"/>
        <v>-104.54487001537923</v>
      </c>
      <c r="F268" s="9">
        <f t="shared" si="24"/>
        <v>1623.637453558903</v>
      </c>
    </row>
    <row r="269" spans="2:6">
      <c r="B269">
        <f t="shared" si="20"/>
        <v>261</v>
      </c>
      <c r="C269" s="1">
        <f t="shared" si="21"/>
        <v>50041</v>
      </c>
      <c r="D269" s="9">
        <f t="shared" si="22"/>
        <v>-32987.098458172673</v>
      </c>
      <c r="E269" s="9">
        <f t="shared" si="23"/>
        <v>-109.95699486057559</v>
      </c>
      <c r="F269" s="9">
        <f t="shared" si="24"/>
        <v>1629.0495784040993</v>
      </c>
    </row>
    <row r="270" spans="2:6">
      <c r="B270">
        <f t="shared" si="20"/>
        <v>262</v>
      </c>
      <c r="C270" s="1">
        <f t="shared" si="21"/>
        <v>50072</v>
      </c>
      <c r="D270" s="9">
        <f t="shared" si="22"/>
        <v>-34616.148036576771</v>
      </c>
      <c r="E270" s="9">
        <f t="shared" si="23"/>
        <v>-115.38716012192258</v>
      </c>
      <c r="F270" s="9">
        <f t="shared" si="24"/>
        <v>1634.4797436654462</v>
      </c>
    </row>
    <row r="271" spans="2:6">
      <c r="B271">
        <f t="shared" si="20"/>
        <v>263</v>
      </c>
      <c r="C271" s="1">
        <f t="shared" si="21"/>
        <v>50100</v>
      </c>
      <c r="D271" s="9">
        <f t="shared" si="22"/>
        <v>-36250.627780242219</v>
      </c>
      <c r="E271" s="9">
        <f t="shared" si="23"/>
        <v>-120.83542593414073</v>
      </c>
      <c r="F271" s="9">
        <f t="shared" si="24"/>
        <v>1639.9280094776643</v>
      </c>
    </row>
    <row r="272" spans="2:6">
      <c r="B272">
        <f t="shared" si="20"/>
        <v>264</v>
      </c>
      <c r="C272" s="1">
        <f t="shared" si="21"/>
        <v>50131</v>
      </c>
      <c r="D272" s="9">
        <f t="shared" si="22"/>
        <v>-37890.555789719881</v>
      </c>
      <c r="E272" s="9">
        <f t="shared" si="23"/>
        <v>-126.30185263239962</v>
      </c>
      <c r="F272" s="9">
        <f t="shared" si="24"/>
        <v>1645.3944361759234</v>
      </c>
    </row>
    <row r="273" spans="2:6">
      <c r="B273">
        <f t="shared" si="20"/>
        <v>265</v>
      </c>
      <c r="C273" s="1">
        <f t="shared" si="21"/>
        <v>50161</v>
      </c>
      <c r="D273" s="9">
        <f t="shared" si="22"/>
        <v>-39535.950225895802</v>
      </c>
      <c r="E273" s="9">
        <f t="shared" si="23"/>
        <v>-131.786500752986</v>
      </c>
      <c r="F273" s="9">
        <f t="shared" si="24"/>
        <v>1650.8790842965097</v>
      </c>
    </row>
    <row r="274" spans="2:6">
      <c r="B274">
        <f t="shared" si="20"/>
        <v>266</v>
      </c>
      <c r="C274" s="1">
        <f t="shared" si="21"/>
        <v>50192</v>
      </c>
      <c r="D274" s="9">
        <f t="shared" si="22"/>
        <v>-41186.829310192312</v>
      </c>
      <c r="E274" s="9">
        <f t="shared" si="23"/>
        <v>-137.28943103397438</v>
      </c>
      <c r="F274" s="9">
        <f t="shared" si="24"/>
        <v>1656.382014577498</v>
      </c>
    </row>
    <row r="275" spans="2:6">
      <c r="B275">
        <f t="shared" si="20"/>
        <v>267</v>
      </c>
      <c r="C275" s="1">
        <f t="shared" si="21"/>
        <v>50222</v>
      </c>
      <c r="D275" s="9">
        <f t="shared" si="22"/>
        <v>-42843.211324769807</v>
      </c>
      <c r="E275" s="9">
        <f t="shared" si="23"/>
        <v>-142.81070441589935</v>
      </c>
      <c r="F275" s="9">
        <f t="shared" si="24"/>
        <v>1661.9032879594231</v>
      </c>
    </row>
    <row r="276" spans="2:6">
      <c r="B276">
        <f t="shared" si="20"/>
        <v>268</v>
      </c>
      <c r="C276" s="1">
        <f t="shared" si="21"/>
        <v>50253</v>
      </c>
      <c r="D276" s="9">
        <f t="shared" si="22"/>
        <v>-44505.11461272923</v>
      </c>
      <c r="E276" s="9">
        <f t="shared" si="23"/>
        <v>-148.35038204243077</v>
      </c>
      <c r="F276" s="9">
        <f t="shared" si="24"/>
        <v>1667.4429655859544</v>
      </c>
    </row>
    <row r="277" spans="2:6">
      <c r="B277">
        <f t="shared" si="20"/>
        <v>269</v>
      </c>
      <c r="C277" s="1">
        <f t="shared" si="21"/>
        <v>50284</v>
      </c>
      <c r="D277" s="9">
        <f t="shared" si="22"/>
        <v>-46172.557578315187</v>
      </c>
      <c r="E277" s="9">
        <f t="shared" si="23"/>
        <v>-153.90852526105064</v>
      </c>
      <c r="F277" s="9">
        <f t="shared" si="24"/>
        <v>1673.0011088045744</v>
      </c>
    </row>
    <row r="278" spans="2:6">
      <c r="B278">
        <f t="shared" si="20"/>
        <v>270</v>
      </c>
      <c r="C278" s="1">
        <f t="shared" si="21"/>
        <v>50314</v>
      </c>
      <c r="D278" s="9">
        <f t="shared" si="22"/>
        <v>-47845.558687119759</v>
      </c>
      <c r="E278" s="9">
        <f t="shared" si="23"/>
        <v>-159.48519562373255</v>
      </c>
      <c r="F278" s="9">
        <f t="shared" si="24"/>
        <v>1678.5777791672563</v>
      </c>
    </row>
    <row r="279" spans="2:6">
      <c r="B279">
        <f t="shared" si="20"/>
        <v>271</v>
      </c>
      <c r="C279" s="1">
        <f t="shared" si="21"/>
        <v>50345</v>
      </c>
      <c r="D279" s="9">
        <f t="shared" si="22"/>
        <v>-49524.136466287018</v>
      </c>
      <c r="E279" s="9">
        <f t="shared" si="23"/>
        <v>-165.0804548876234</v>
      </c>
      <c r="F279" s="9">
        <f t="shared" si="24"/>
        <v>1684.173038431147</v>
      </c>
    </row>
    <row r="280" spans="2:6">
      <c r="B280">
        <f t="shared" si="20"/>
        <v>272</v>
      </c>
      <c r="C280" s="1">
        <f t="shared" si="21"/>
        <v>50375</v>
      </c>
      <c r="D280" s="9">
        <f t="shared" si="22"/>
        <v>-51208.309504718163</v>
      </c>
      <c r="E280" s="9">
        <f t="shared" si="23"/>
        <v>-170.69436501572719</v>
      </c>
      <c r="F280" s="9">
        <f t="shared" si="24"/>
        <v>1689.786948559251</v>
      </c>
    </row>
    <row r="281" spans="2:6">
      <c r="B281">
        <f t="shared" si="20"/>
        <v>273</v>
      </c>
      <c r="C281" s="1">
        <f t="shared" si="21"/>
        <v>50406</v>
      </c>
      <c r="D281" s="9">
        <f t="shared" si="22"/>
        <v>-52898.096453277416</v>
      </c>
      <c r="E281" s="9">
        <f t="shared" si="23"/>
        <v>-176.32698817759137</v>
      </c>
      <c r="F281" s="9">
        <f t="shared" si="24"/>
        <v>1695.4195717211151</v>
      </c>
    </row>
    <row r="282" spans="2:6">
      <c r="B282">
        <f t="shared" si="20"/>
        <v>274</v>
      </c>
      <c r="C282" s="1">
        <f t="shared" si="21"/>
        <v>50437</v>
      </c>
      <c r="D282" s="9">
        <f t="shared" si="22"/>
        <v>-54593.516024998535</v>
      </c>
      <c r="E282" s="9">
        <f t="shared" si="23"/>
        <v>-181.97838674999511</v>
      </c>
      <c r="F282" s="9">
        <f t="shared" si="24"/>
        <v>1701.0709702935187</v>
      </c>
    </row>
    <row r="283" spans="2:6">
      <c r="B283">
        <f t="shared" si="20"/>
        <v>275</v>
      </c>
      <c r="C283" s="1">
        <f t="shared" si="21"/>
        <v>50465</v>
      </c>
      <c r="D283" s="9">
        <f t="shared" si="22"/>
        <v>-56294.586995292055</v>
      </c>
      <c r="E283" s="9">
        <f t="shared" si="23"/>
        <v>-187.64862331764019</v>
      </c>
      <c r="F283" s="9">
        <f t="shared" si="24"/>
        <v>1706.7412068611638</v>
      </c>
    </row>
    <row r="284" spans="2:6">
      <c r="B284">
        <f t="shared" si="20"/>
        <v>276</v>
      </c>
      <c r="C284" s="1">
        <f t="shared" si="21"/>
        <v>50496</v>
      </c>
      <c r="D284" s="9">
        <f t="shared" si="22"/>
        <v>-58001.328202153221</v>
      </c>
      <c r="E284" s="9">
        <f t="shared" si="23"/>
        <v>-193.33776067384406</v>
      </c>
      <c r="F284" s="9">
        <f t="shared" si="24"/>
        <v>1712.4303442173677</v>
      </c>
    </row>
    <row r="285" spans="2:6">
      <c r="B285">
        <f t="shared" si="20"/>
        <v>277</v>
      </c>
      <c r="C285" s="1">
        <f t="shared" si="21"/>
        <v>50526</v>
      </c>
      <c r="D285" s="9">
        <f t="shared" si="22"/>
        <v>-59713.758546370591</v>
      </c>
      <c r="E285" s="9">
        <f t="shared" si="23"/>
        <v>-199.04586182123532</v>
      </c>
      <c r="F285" s="9">
        <f t="shared" si="24"/>
        <v>1718.138445364759</v>
      </c>
    </row>
    <row r="286" spans="2:6">
      <c r="B286">
        <f t="shared" si="20"/>
        <v>278</v>
      </c>
      <c r="C286" s="1">
        <f t="shared" si="21"/>
        <v>50557</v>
      </c>
      <c r="D286" s="9">
        <f t="shared" si="22"/>
        <v>-61431.896991735353</v>
      </c>
      <c r="E286" s="9">
        <f t="shared" si="23"/>
        <v>-204.7729899724512</v>
      </c>
      <c r="F286" s="9">
        <f t="shared" si="24"/>
        <v>1723.8655735159748</v>
      </c>
    </row>
    <row r="287" spans="2:6">
      <c r="B287">
        <f t="shared" si="20"/>
        <v>279</v>
      </c>
      <c r="C287" s="1">
        <f t="shared" si="21"/>
        <v>50587</v>
      </c>
      <c r="D287" s="9">
        <f t="shared" si="22"/>
        <v>-63155.762565251331</v>
      </c>
      <c r="E287" s="9">
        <f t="shared" si="23"/>
        <v>-210.51920855083779</v>
      </c>
      <c r="F287" s="9">
        <f t="shared" si="24"/>
        <v>1729.6117920943616</v>
      </c>
    </row>
    <row r="288" spans="2:6">
      <c r="B288">
        <f t="shared" si="20"/>
        <v>280</v>
      </c>
      <c r="C288" s="1">
        <f t="shared" si="21"/>
        <v>50618</v>
      </c>
      <c r="D288" s="9">
        <f t="shared" si="22"/>
        <v>-64885.374357345689</v>
      </c>
      <c r="E288" s="9">
        <f t="shared" si="23"/>
        <v>-216.28458119115228</v>
      </c>
      <c r="F288" s="9">
        <f t="shared" si="24"/>
        <v>1735.3771647346759</v>
      </c>
    </row>
    <row r="289" spans="2:6">
      <c r="B289">
        <f t="shared" si="20"/>
        <v>281</v>
      </c>
      <c r="C289" s="1">
        <f t="shared" si="21"/>
        <v>50649</v>
      </c>
      <c r="D289" s="9">
        <f t="shared" si="22"/>
        <v>-66620.751522080362</v>
      </c>
      <c r="E289" s="9">
        <f t="shared" si="23"/>
        <v>-222.06917174026788</v>
      </c>
      <c r="F289" s="9">
        <f t="shared" si="24"/>
        <v>1741.1617552837915</v>
      </c>
    </row>
    <row r="290" spans="2:6">
      <c r="B290">
        <f t="shared" si="20"/>
        <v>282</v>
      </c>
      <c r="C290" s="1">
        <f t="shared" si="21"/>
        <v>50679</v>
      </c>
      <c r="D290" s="9">
        <f t="shared" si="22"/>
        <v>-68361.913277364147</v>
      </c>
      <c r="E290" s="9">
        <f t="shared" si="23"/>
        <v>-227.87304425788048</v>
      </c>
      <c r="F290" s="9">
        <f t="shared" si="24"/>
        <v>1746.9656278014043</v>
      </c>
    </row>
    <row r="291" spans="2:6">
      <c r="B291">
        <f t="shared" si="20"/>
        <v>283</v>
      </c>
      <c r="C291" s="1">
        <f t="shared" si="21"/>
        <v>50710</v>
      </c>
      <c r="D291" s="9">
        <f t="shared" si="22"/>
        <v>-70108.878905165548</v>
      </c>
      <c r="E291" s="9">
        <f t="shared" si="23"/>
        <v>-233.69626301721848</v>
      </c>
      <c r="F291" s="9">
        <f t="shared" si="24"/>
        <v>1752.7888465607421</v>
      </c>
    </row>
    <row r="292" spans="2:6">
      <c r="B292">
        <f t="shared" si="20"/>
        <v>284</v>
      </c>
      <c r="C292" s="1">
        <f t="shared" si="21"/>
        <v>50740</v>
      </c>
      <c r="D292" s="9">
        <f t="shared" si="22"/>
        <v>-71861.667751726287</v>
      </c>
      <c r="E292" s="9">
        <f t="shared" si="23"/>
        <v>-239.53889250575432</v>
      </c>
      <c r="F292" s="9">
        <f t="shared" si="24"/>
        <v>1758.631476049278</v>
      </c>
    </row>
    <row r="293" spans="2:6">
      <c r="B293">
        <f t="shared" si="20"/>
        <v>285</v>
      </c>
      <c r="C293" s="1">
        <f t="shared" si="21"/>
        <v>50771</v>
      </c>
      <c r="D293" s="9">
        <f t="shared" si="22"/>
        <v>-73620.299227775569</v>
      </c>
      <c r="E293" s="9">
        <f t="shared" si="23"/>
        <v>-245.40099742591858</v>
      </c>
      <c r="F293" s="9">
        <f t="shared" si="24"/>
        <v>1764.4935809694423</v>
      </c>
    </row>
    <row r="294" spans="2:6">
      <c r="B294">
        <f t="shared" si="20"/>
        <v>286</v>
      </c>
      <c r="C294" s="1">
        <f t="shared" si="21"/>
        <v>50802</v>
      </c>
      <c r="D294" s="9">
        <f t="shared" si="22"/>
        <v>-75384.792808745013</v>
      </c>
      <c r="E294" s="9">
        <f t="shared" si="23"/>
        <v>-251.28264269581669</v>
      </c>
      <c r="F294" s="9">
        <f t="shared" si="24"/>
        <v>1770.3752262393405</v>
      </c>
    </row>
    <row r="295" spans="2:6">
      <c r="B295">
        <f t="shared" si="20"/>
        <v>287</v>
      </c>
      <c r="C295" s="1">
        <f t="shared" si="21"/>
        <v>50830</v>
      </c>
      <c r="D295" s="9">
        <f t="shared" si="22"/>
        <v>-77155.168034984352</v>
      </c>
      <c r="E295" s="9">
        <f t="shared" si="23"/>
        <v>-257.18389344994785</v>
      </c>
      <c r="F295" s="9">
        <f t="shared" si="24"/>
        <v>1776.2764769934715</v>
      </c>
    </row>
    <row r="296" spans="2:6">
      <c r="B296">
        <f t="shared" si="20"/>
        <v>288</v>
      </c>
      <c r="C296" s="1">
        <f t="shared" si="21"/>
        <v>50861</v>
      </c>
      <c r="D296" s="9">
        <f t="shared" si="22"/>
        <v>-78931.444511977825</v>
      </c>
      <c r="E296" s="9">
        <f t="shared" si="23"/>
        <v>-263.10481503992611</v>
      </c>
      <c r="F296" s="9">
        <f t="shared" si="24"/>
        <v>1782.1973985834497</v>
      </c>
    </row>
    <row r="297" spans="2:6">
      <c r="B297">
        <f t="shared" si="20"/>
        <v>289</v>
      </c>
      <c r="C297" s="1">
        <f t="shared" si="21"/>
        <v>50891</v>
      </c>
      <c r="D297" s="9">
        <f t="shared" si="22"/>
        <v>-80713.641910561273</v>
      </c>
      <c r="E297" s="9">
        <f t="shared" si="23"/>
        <v>-269.04547303520422</v>
      </c>
      <c r="F297" s="9">
        <f t="shared" si="24"/>
        <v>1788.1380565787279</v>
      </c>
    </row>
    <row r="298" spans="2:6">
      <c r="B298">
        <f t="shared" si="20"/>
        <v>290</v>
      </c>
      <c r="C298" s="1">
        <f t="shared" si="21"/>
        <v>50922</v>
      </c>
      <c r="D298" s="9">
        <f t="shared" si="22"/>
        <v>-82501.779967139999</v>
      </c>
      <c r="E298" s="9">
        <f t="shared" si="23"/>
        <v>-275.00593322380001</v>
      </c>
      <c r="F298" s="9">
        <f t="shared" si="24"/>
        <v>1794.0985167673236</v>
      </c>
    </row>
    <row r="299" spans="2:6">
      <c r="B299">
        <f t="shared" si="20"/>
        <v>291</v>
      </c>
      <c r="C299" s="1">
        <f t="shared" si="21"/>
        <v>50952</v>
      </c>
      <c r="D299" s="9">
        <f t="shared" si="22"/>
        <v>-84295.87848390732</v>
      </c>
      <c r="E299" s="9">
        <f t="shared" si="23"/>
        <v>-280.9862616130244</v>
      </c>
      <c r="F299" s="9">
        <f t="shared" si="24"/>
        <v>1800.0788451565481</v>
      </c>
    </row>
    <row r="300" spans="2:6">
      <c r="B300">
        <f t="shared" si="20"/>
        <v>292</v>
      </c>
      <c r="C300" s="1">
        <f t="shared" si="21"/>
        <v>50983</v>
      </c>
      <c r="D300" s="9">
        <f t="shared" si="22"/>
        <v>-86095.957329063865</v>
      </c>
      <c r="E300" s="9">
        <f t="shared" si="23"/>
        <v>-286.98652443021291</v>
      </c>
      <c r="F300" s="9">
        <f t="shared" si="24"/>
        <v>1806.0791079737367</v>
      </c>
    </row>
    <row r="301" spans="2:6">
      <c r="B301">
        <f t="shared" si="20"/>
        <v>293</v>
      </c>
      <c r="C301" s="1">
        <f t="shared" si="21"/>
        <v>51014</v>
      </c>
      <c r="D301" s="9">
        <f t="shared" si="22"/>
        <v>-87902.036437037605</v>
      </c>
      <c r="E301" s="9">
        <f t="shared" si="23"/>
        <v>-293.0067881234587</v>
      </c>
      <c r="F301" s="9">
        <f t="shared" si="24"/>
        <v>1812.0993716669823</v>
      </c>
    </row>
    <row r="302" spans="2:6">
      <c r="B302">
        <f t="shared" si="20"/>
        <v>294</v>
      </c>
      <c r="C302" s="1">
        <f t="shared" si="21"/>
        <v>51044</v>
      </c>
      <c r="D302" s="9">
        <f t="shared" si="22"/>
        <v>-89714.135808704581</v>
      </c>
      <c r="E302" s="9">
        <f t="shared" si="23"/>
        <v>-299.04711936234861</v>
      </c>
      <c r="F302" s="9">
        <f t="shared" si="24"/>
        <v>1818.1397029058724</v>
      </c>
    </row>
    <row r="303" spans="2:6">
      <c r="B303">
        <f t="shared" si="20"/>
        <v>295</v>
      </c>
      <c r="C303" s="1">
        <f t="shared" si="21"/>
        <v>51075</v>
      </c>
      <c r="D303" s="9">
        <f t="shared" si="22"/>
        <v>-91532.275511610453</v>
      </c>
      <c r="E303" s="9">
        <f t="shared" si="23"/>
        <v>-305.10758503870153</v>
      </c>
      <c r="F303" s="9">
        <f t="shared" si="24"/>
        <v>1824.2001685822252</v>
      </c>
    </row>
    <row r="304" spans="2:6">
      <c r="B304">
        <f t="shared" si="20"/>
        <v>296</v>
      </c>
      <c r="C304" s="1">
        <f t="shared" si="21"/>
        <v>51105</v>
      </c>
      <c r="D304" s="9">
        <f t="shared" si="22"/>
        <v>-93356.475680192671</v>
      </c>
      <c r="E304" s="9">
        <f t="shared" si="23"/>
        <v>-311.18825226730888</v>
      </c>
      <c r="F304" s="9">
        <f t="shared" si="24"/>
        <v>1830.2808358108325</v>
      </c>
    </row>
    <row r="305" spans="2:6">
      <c r="B305">
        <f t="shared" si="20"/>
        <v>297</v>
      </c>
      <c r="C305" s="1">
        <f t="shared" si="21"/>
        <v>51136</v>
      </c>
      <c r="D305" s="9">
        <f t="shared" si="22"/>
        <v>-95186.756516003501</v>
      </c>
      <c r="E305" s="9">
        <f t="shared" si="23"/>
        <v>-317.28918838667835</v>
      </c>
      <c r="F305" s="9">
        <f t="shared" si="24"/>
        <v>1836.3817719302019</v>
      </c>
    </row>
    <row r="306" spans="2:6">
      <c r="B306">
        <f t="shared" si="20"/>
        <v>298</v>
      </c>
      <c r="C306" s="1">
        <f t="shared" si="21"/>
        <v>51167</v>
      </c>
      <c r="D306" s="9">
        <f t="shared" si="22"/>
        <v>-97023.138287933703</v>
      </c>
      <c r="E306" s="9">
        <f t="shared" si="23"/>
        <v>-323.41046095977902</v>
      </c>
      <c r="F306" s="9">
        <f t="shared" si="24"/>
        <v>1842.5030445033026</v>
      </c>
    </row>
    <row r="307" spans="2:6">
      <c r="B307">
        <f t="shared" si="20"/>
        <v>299</v>
      </c>
      <c r="C307" s="1">
        <f t="shared" si="21"/>
        <v>51196</v>
      </c>
      <c r="D307" s="9">
        <f t="shared" si="22"/>
        <v>-98865.641332437008</v>
      </c>
      <c r="E307" s="9">
        <f t="shared" si="23"/>
        <v>-329.55213777479003</v>
      </c>
      <c r="F307" s="9">
        <f t="shared" si="24"/>
        <v>1848.6447213183137</v>
      </c>
    </row>
    <row r="308" spans="2:6">
      <c r="B308">
        <f t="shared" si="20"/>
        <v>300</v>
      </c>
      <c r="C308" s="1">
        <f t="shared" si="21"/>
        <v>51227</v>
      </c>
      <c r="D308" s="9">
        <f t="shared" si="22"/>
        <v>-100714.28605375532</v>
      </c>
      <c r="E308" s="9">
        <f t="shared" si="23"/>
        <v>-335.71428684585106</v>
      </c>
      <c r="F308" s="9">
        <f t="shared" si="24"/>
        <v>1854.8068703893748</v>
      </c>
    </row>
    <row r="309" spans="2:6">
      <c r="B309">
        <f t="shared" si="20"/>
        <v>301</v>
      </c>
      <c r="C309" s="1">
        <f t="shared" si="21"/>
        <v>51257</v>
      </c>
      <c r="D309" s="9">
        <f t="shared" si="22"/>
        <v>-102569.0929241447</v>
      </c>
      <c r="E309" s="9">
        <f t="shared" si="23"/>
        <v>-341.89697641381571</v>
      </c>
      <c r="F309" s="9">
        <f t="shared" si="24"/>
        <v>1860.9895599573395</v>
      </c>
    </row>
    <row r="310" spans="2:6">
      <c r="B310">
        <f t="shared" si="20"/>
        <v>302</v>
      </c>
      <c r="C310" s="1">
        <f t="shared" si="21"/>
        <v>51288</v>
      </c>
      <c r="D310" s="9">
        <f t="shared" si="22"/>
        <v>-104430.08248410204</v>
      </c>
      <c r="E310" s="9">
        <f t="shared" si="23"/>
        <v>-348.10027494700677</v>
      </c>
      <c r="F310" s="9">
        <f t="shared" si="24"/>
        <v>1867.1928584905304</v>
      </c>
    </row>
    <row r="311" spans="2:6">
      <c r="B311">
        <f t="shared" si="20"/>
        <v>303</v>
      </c>
      <c r="C311" s="1">
        <f t="shared" si="21"/>
        <v>51318</v>
      </c>
      <c r="D311" s="9">
        <f t="shared" si="22"/>
        <v>-106297.27534259256</v>
      </c>
      <c r="E311" s="9">
        <f t="shared" si="23"/>
        <v>-354.32425114197525</v>
      </c>
      <c r="F311" s="9">
        <f t="shared" si="24"/>
        <v>1873.416834685499</v>
      </c>
    </row>
    <row r="312" spans="2:6">
      <c r="B312">
        <f t="shared" si="20"/>
        <v>304</v>
      </c>
      <c r="C312" s="1">
        <f t="shared" si="21"/>
        <v>51349</v>
      </c>
      <c r="D312" s="9">
        <f t="shared" si="22"/>
        <v>-108170.69217727806</v>
      </c>
      <c r="E312" s="9">
        <f t="shared" si="23"/>
        <v>-360.56897392426021</v>
      </c>
      <c r="F312" s="9">
        <f t="shared" si="24"/>
        <v>1879.661557467784</v>
      </c>
    </row>
    <row r="313" spans="2:6">
      <c r="B313">
        <f t="shared" si="20"/>
        <v>305</v>
      </c>
      <c r="C313" s="1">
        <f t="shared" si="21"/>
        <v>51380</v>
      </c>
      <c r="D313" s="9">
        <f t="shared" si="22"/>
        <v>-110050.35373474585</v>
      </c>
      <c r="E313" s="9">
        <f t="shared" si="23"/>
        <v>-366.83451244915278</v>
      </c>
      <c r="F313" s="9">
        <f t="shared" si="24"/>
        <v>1885.9270959926764</v>
      </c>
    </row>
    <row r="314" spans="2:6">
      <c r="B314">
        <f t="shared" si="20"/>
        <v>306</v>
      </c>
      <c r="C314" s="1">
        <f t="shared" si="21"/>
        <v>51410</v>
      </c>
      <c r="D314" s="9">
        <f t="shared" si="22"/>
        <v>-111936.28083073853</v>
      </c>
      <c r="E314" s="9">
        <f t="shared" si="23"/>
        <v>-373.12093610246171</v>
      </c>
      <c r="F314" s="9">
        <f t="shared" si="24"/>
        <v>1892.2135196459853</v>
      </c>
    </row>
    <row r="315" spans="2:6">
      <c r="B315">
        <f t="shared" si="20"/>
        <v>307</v>
      </c>
      <c r="C315" s="1">
        <f t="shared" si="21"/>
        <v>51441</v>
      </c>
      <c r="D315" s="9">
        <f t="shared" si="22"/>
        <v>-113828.49435038451</v>
      </c>
      <c r="E315" s="9">
        <f t="shared" si="23"/>
        <v>-379.4283145012817</v>
      </c>
      <c r="F315" s="9">
        <f t="shared" si="24"/>
        <v>1898.5208980448053</v>
      </c>
    </row>
    <row r="316" spans="2:6">
      <c r="B316">
        <f t="shared" si="20"/>
        <v>308</v>
      </c>
      <c r="C316" s="1">
        <f t="shared" si="21"/>
        <v>51471</v>
      </c>
      <c r="D316" s="9">
        <f t="shared" si="22"/>
        <v>-115727.01524842932</v>
      </c>
      <c r="E316" s="9">
        <f t="shared" si="23"/>
        <v>-385.75671749476442</v>
      </c>
      <c r="F316" s="9">
        <f t="shared" si="24"/>
        <v>1904.8493010382881</v>
      </c>
    </row>
    <row r="317" spans="2:6">
      <c r="B317">
        <f t="shared" si="20"/>
        <v>309</v>
      </c>
      <c r="C317" s="1">
        <f t="shared" si="21"/>
        <v>51502</v>
      </c>
      <c r="D317" s="9">
        <f t="shared" si="22"/>
        <v>-117631.8645494676</v>
      </c>
      <c r="E317" s="9">
        <f t="shared" si="23"/>
        <v>-392.10621516489203</v>
      </c>
      <c r="F317" s="9">
        <f t="shared" si="24"/>
        <v>1911.1987987084158</v>
      </c>
    </row>
    <row r="318" spans="2:6">
      <c r="B318">
        <f t="shared" si="20"/>
        <v>310</v>
      </c>
      <c r="C318" s="1">
        <f t="shared" si="21"/>
        <v>51533</v>
      </c>
      <c r="D318" s="9">
        <f t="shared" si="22"/>
        <v>-119543.06334817602</v>
      </c>
      <c r="E318" s="9">
        <f t="shared" si="23"/>
        <v>-398.47687782725342</v>
      </c>
      <c r="F318" s="9">
        <f t="shared" si="24"/>
        <v>1917.5694613707772</v>
      </c>
    </row>
    <row r="319" spans="2:6">
      <c r="B319">
        <f t="shared" si="20"/>
        <v>311</v>
      </c>
      <c r="C319" s="1">
        <f t="shared" si="21"/>
        <v>51561</v>
      </c>
      <c r="D319" s="9">
        <f t="shared" si="22"/>
        <v>-121460.63280954679</v>
      </c>
      <c r="E319" s="9">
        <f t="shared" si="23"/>
        <v>-404.86877603182262</v>
      </c>
      <c r="F319" s="9">
        <f t="shared" si="24"/>
        <v>1923.9613595753463</v>
      </c>
    </row>
    <row r="320" spans="2:6">
      <c r="B320">
        <f t="shared" si="20"/>
        <v>312</v>
      </c>
      <c r="C320" s="1">
        <f t="shared" si="21"/>
        <v>51592</v>
      </c>
      <c r="D320" s="9">
        <f t="shared" si="22"/>
        <v>-123384.59416912214</v>
      </c>
      <c r="E320" s="9">
        <f t="shared" si="23"/>
        <v>-411.28198056374049</v>
      </c>
      <c r="F320" s="9">
        <f t="shared" si="24"/>
        <v>1930.3745641072642</v>
      </c>
    </row>
    <row r="321" spans="2:6">
      <c r="B321">
        <f t="shared" si="20"/>
        <v>313</v>
      </c>
      <c r="C321" s="1">
        <f t="shared" si="21"/>
        <v>51622</v>
      </c>
      <c r="D321" s="9">
        <f t="shared" si="22"/>
        <v>-125314.9687332294</v>
      </c>
      <c r="E321" s="9">
        <f t="shared" si="23"/>
        <v>-417.71656244409797</v>
      </c>
      <c r="F321" s="9">
        <f t="shared" si="24"/>
        <v>1936.8091459876216</v>
      </c>
    </row>
    <row r="322" spans="2:6">
      <c r="B322">
        <f t="shared" si="20"/>
        <v>314</v>
      </c>
      <c r="C322" s="1">
        <f t="shared" si="21"/>
        <v>51653</v>
      </c>
      <c r="D322" s="9">
        <f t="shared" si="22"/>
        <v>-127251.77787921701</v>
      </c>
      <c r="E322" s="9">
        <f t="shared" si="23"/>
        <v>-424.1725929307234</v>
      </c>
      <c r="F322" s="9">
        <f t="shared" si="24"/>
        <v>1943.265176474247</v>
      </c>
    </row>
    <row r="323" spans="2:6">
      <c r="B323">
        <f t="shared" si="20"/>
        <v>315</v>
      </c>
      <c r="C323" s="1">
        <f t="shared" si="21"/>
        <v>51683</v>
      </c>
      <c r="D323" s="9">
        <f t="shared" si="22"/>
        <v>-129195.04305569126</v>
      </c>
      <c r="E323" s="9">
        <f t="shared" si="23"/>
        <v>-430.65014351897088</v>
      </c>
      <c r="F323" s="9">
        <f t="shared" si="24"/>
        <v>1949.7427270624946</v>
      </c>
    </row>
    <row r="324" spans="2:6">
      <c r="B324">
        <f t="shared" si="20"/>
        <v>316</v>
      </c>
      <c r="C324" s="1">
        <f t="shared" si="21"/>
        <v>51714</v>
      </c>
      <c r="D324" s="9">
        <f t="shared" si="22"/>
        <v>-131144.78578275375</v>
      </c>
      <c r="E324" s="9">
        <f t="shared" si="23"/>
        <v>-437.14928594251251</v>
      </c>
      <c r="F324" s="9">
        <f t="shared" si="24"/>
        <v>1956.2418694860362</v>
      </c>
    </row>
    <row r="325" spans="2:6">
      <c r="B325">
        <f t="shared" si="20"/>
        <v>317</v>
      </c>
      <c r="C325" s="1">
        <f t="shared" si="21"/>
        <v>51745</v>
      </c>
      <c r="D325" s="9">
        <f t="shared" si="22"/>
        <v>-133101.02765223978</v>
      </c>
      <c r="E325" s="9">
        <f t="shared" si="23"/>
        <v>-443.67009217413261</v>
      </c>
      <c r="F325" s="9">
        <f t="shared" si="24"/>
        <v>1962.7626757176563</v>
      </c>
    </row>
    <row r="326" spans="2:6">
      <c r="B326">
        <f t="shared" si="20"/>
        <v>318</v>
      </c>
      <c r="C326" s="1">
        <f t="shared" si="21"/>
        <v>51775</v>
      </c>
      <c r="D326" s="9">
        <f t="shared" si="22"/>
        <v>-135063.79032795742</v>
      </c>
      <c r="E326" s="9">
        <f t="shared" si="23"/>
        <v>-450.21263442652474</v>
      </c>
      <c r="F326" s="9">
        <f t="shared" si="24"/>
        <v>1969.3052179700485</v>
      </c>
    </row>
    <row r="327" spans="2:6">
      <c r="B327">
        <f t="shared" si="20"/>
        <v>319</v>
      </c>
      <c r="C327" s="1">
        <f t="shared" si="21"/>
        <v>51806</v>
      </c>
      <c r="D327" s="9">
        <f t="shared" si="22"/>
        <v>-137033.09554592747</v>
      </c>
      <c r="E327" s="9">
        <f t="shared" si="23"/>
        <v>-456.77698515309157</v>
      </c>
      <c r="F327" s="9">
        <f t="shared" si="24"/>
        <v>1975.8695686966153</v>
      </c>
    </row>
    <row r="328" spans="2:6">
      <c r="B328">
        <f t="shared" si="20"/>
        <v>320</v>
      </c>
      <c r="C328" s="1">
        <f t="shared" si="21"/>
        <v>51836</v>
      </c>
      <c r="D328" s="9">
        <f t="shared" si="22"/>
        <v>-139008.96511462409</v>
      </c>
      <c r="E328" s="9">
        <f t="shared" si="23"/>
        <v>-463.363217048747</v>
      </c>
      <c r="F328" s="9">
        <f t="shared" si="24"/>
        <v>1982.4558005922706</v>
      </c>
    </row>
    <row r="329" spans="2:6">
      <c r="B329">
        <f t="shared" si="20"/>
        <v>321</v>
      </c>
      <c r="C329" s="1">
        <f t="shared" si="21"/>
        <v>51867</v>
      </c>
      <c r="D329" s="9">
        <f t="shared" si="22"/>
        <v>-140991.42091521635</v>
      </c>
      <c r="E329" s="9">
        <f t="shared" si="23"/>
        <v>-469.97140305072116</v>
      </c>
      <c r="F329" s="9">
        <f t="shared" si="24"/>
        <v>1989.0639865942449</v>
      </c>
    </row>
    <row r="330" spans="2:6">
      <c r="B330">
        <f t="shared" si="20"/>
        <v>322</v>
      </c>
      <c r="C330" s="1">
        <f t="shared" si="21"/>
        <v>51898</v>
      </c>
      <c r="D330" s="9">
        <f t="shared" si="22"/>
        <v>-142980.48490181059</v>
      </c>
      <c r="E330" s="9">
        <f t="shared" si="23"/>
        <v>-476.6016163393686</v>
      </c>
      <c r="F330" s="9">
        <f t="shared" si="24"/>
        <v>1995.6941998828922</v>
      </c>
    </row>
    <row r="331" spans="2:6">
      <c r="B331">
        <f t="shared" ref="B331:B369" si="25">B330+1</f>
        <v>323</v>
      </c>
      <c r="C331" s="1">
        <f t="shared" ref="C331:C369" si="26">DATE(YEAR(C330),MONTH(C330)+1,DAY(C330))</f>
        <v>51926</v>
      </c>
      <c r="D331" s="9">
        <f t="shared" ref="D331:D369" si="27">D330-F330</f>
        <v>-144976.17910169347</v>
      </c>
      <c r="E331" s="9">
        <f t="shared" ref="E331:E369" si="28">D331*D$4/12</f>
        <v>-483.25393033897825</v>
      </c>
      <c r="F331" s="9">
        <f t="shared" ref="F331:F369" si="29">F$6-E331</f>
        <v>2002.346513882502</v>
      </c>
    </row>
    <row r="332" spans="2:6">
      <c r="B332">
        <f t="shared" si="25"/>
        <v>324</v>
      </c>
      <c r="C332" s="1">
        <f t="shared" si="26"/>
        <v>51957</v>
      </c>
      <c r="D332" s="9">
        <f t="shared" si="27"/>
        <v>-146978.52561557599</v>
      </c>
      <c r="E332" s="9">
        <f t="shared" si="28"/>
        <v>-489.92841871858667</v>
      </c>
      <c r="F332" s="9">
        <f t="shared" si="29"/>
        <v>2009.0210022621104</v>
      </c>
    </row>
    <row r="333" spans="2:6">
      <c r="B333">
        <f t="shared" si="25"/>
        <v>325</v>
      </c>
      <c r="C333" s="1">
        <f t="shared" si="26"/>
        <v>51987</v>
      </c>
      <c r="D333" s="9">
        <f t="shared" si="27"/>
        <v>-148987.54661783809</v>
      </c>
      <c r="E333" s="9">
        <f t="shared" si="28"/>
        <v>-496.62515539279366</v>
      </c>
      <c r="F333" s="9">
        <f t="shared" si="29"/>
        <v>2015.7177389363173</v>
      </c>
    </row>
    <row r="334" spans="2:6">
      <c r="B334">
        <f t="shared" si="25"/>
        <v>326</v>
      </c>
      <c r="C334" s="1">
        <f t="shared" si="26"/>
        <v>52018</v>
      </c>
      <c r="D334" s="9">
        <f t="shared" si="27"/>
        <v>-151003.26435677439</v>
      </c>
      <c r="E334" s="9">
        <f t="shared" si="28"/>
        <v>-503.3442145225813</v>
      </c>
      <c r="F334" s="9">
        <f t="shared" si="29"/>
        <v>2022.436798066105</v>
      </c>
    </row>
    <row r="335" spans="2:6">
      <c r="B335">
        <f t="shared" si="25"/>
        <v>327</v>
      </c>
      <c r="C335" s="1">
        <f t="shared" si="26"/>
        <v>52048</v>
      </c>
      <c r="D335" s="9">
        <f t="shared" si="27"/>
        <v>-153025.7011548405</v>
      </c>
      <c r="E335" s="9">
        <f t="shared" si="28"/>
        <v>-510.085670516135</v>
      </c>
      <c r="F335" s="9">
        <f t="shared" si="29"/>
        <v>2029.1782540596587</v>
      </c>
    </row>
    <row r="336" spans="2:6">
      <c r="B336">
        <f t="shared" si="25"/>
        <v>328</v>
      </c>
      <c r="C336" s="1">
        <f t="shared" si="26"/>
        <v>52079</v>
      </c>
      <c r="D336" s="9">
        <f t="shared" si="27"/>
        <v>-155054.87940890016</v>
      </c>
      <c r="E336" s="9">
        <f t="shared" si="28"/>
        <v>-516.84959802966716</v>
      </c>
      <c r="F336" s="9">
        <f t="shared" si="29"/>
        <v>2035.9421815731907</v>
      </c>
    </row>
    <row r="337" spans="2:6">
      <c r="B337">
        <f t="shared" si="25"/>
        <v>329</v>
      </c>
      <c r="C337" s="1">
        <f t="shared" si="26"/>
        <v>52110</v>
      </c>
      <c r="D337" s="9">
        <f t="shared" si="27"/>
        <v>-157090.82159047335</v>
      </c>
      <c r="E337" s="9">
        <f t="shared" si="28"/>
        <v>-523.63607196824455</v>
      </c>
      <c r="F337" s="9">
        <f t="shared" si="29"/>
        <v>2042.7286555117682</v>
      </c>
    </row>
    <row r="338" spans="2:6">
      <c r="B338">
        <f t="shared" si="25"/>
        <v>330</v>
      </c>
      <c r="C338" s="1">
        <f t="shared" si="26"/>
        <v>52140</v>
      </c>
      <c r="D338" s="9">
        <f t="shared" si="27"/>
        <v>-159133.55024598513</v>
      </c>
      <c r="E338" s="9">
        <f t="shared" si="28"/>
        <v>-530.44516748661715</v>
      </c>
      <c r="F338" s="9">
        <f t="shared" si="29"/>
        <v>2049.537751030141</v>
      </c>
    </row>
    <row r="339" spans="2:6">
      <c r="B339">
        <f t="shared" si="25"/>
        <v>331</v>
      </c>
      <c r="C339" s="1">
        <f t="shared" si="26"/>
        <v>52171</v>
      </c>
      <c r="D339" s="9">
        <f t="shared" si="27"/>
        <v>-161183.08799701527</v>
      </c>
      <c r="E339" s="9">
        <f t="shared" si="28"/>
        <v>-537.27695999005095</v>
      </c>
      <c r="F339" s="9">
        <f t="shared" si="29"/>
        <v>2056.3695435335749</v>
      </c>
    </row>
    <row r="340" spans="2:6">
      <c r="B340">
        <f t="shared" si="25"/>
        <v>332</v>
      </c>
      <c r="C340" s="1">
        <f t="shared" si="26"/>
        <v>52201</v>
      </c>
      <c r="D340" s="9">
        <f t="shared" si="27"/>
        <v>-163239.45754054884</v>
      </c>
      <c r="E340" s="9">
        <f t="shared" si="28"/>
        <v>-544.13152513516286</v>
      </c>
      <c r="F340" s="9">
        <f t="shared" si="29"/>
        <v>2063.2241086786867</v>
      </c>
    </row>
    <row r="341" spans="2:6">
      <c r="B341">
        <f t="shared" si="25"/>
        <v>333</v>
      </c>
      <c r="C341" s="1">
        <f t="shared" si="26"/>
        <v>52232</v>
      </c>
      <c r="D341" s="9">
        <f t="shared" si="27"/>
        <v>-165302.68164922754</v>
      </c>
      <c r="E341" s="9">
        <f t="shared" si="28"/>
        <v>-551.00893883075844</v>
      </c>
      <c r="F341" s="9">
        <f t="shared" si="29"/>
        <v>2070.101522374282</v>
      </c>
    </row>
    <row r="342" spans="2:6">
      <c r="B342">
        <f t="shared" si="25"/>
        <v>334</v>
      </c>
      <c r="C342" s="1">
        <f t="shared" si="26"/>
        <v>52263</v>
      </c>
      <c r="D342" s="9">
        <f t="shared" si="27"/>
        <v>-167372.78317160183</v>
      </c>
      <c r="E342" s="9">
        <f t="shared" si="28"/>
        <v>-557.90927723867276</v>
      </c>
      <c r="F342" s="9">
        <f t="shared" si="29"/>
        <v>2077.0018607821967</v>
      </c>
    </row>
    <row r="343" spans="2:6">
      <c r="B343">
        <f t="shared" si="25"/>
        <v>335</v>
      </c>
      <c r="C343" s="1">
        <f t="shared" si="26"/>
        <v>52291</v>
      </c>
      <c r="D343" s="9">
        <f t="shared" si="27"/>
        <v>-169449.78503238401</v>
      </c>
      <c r="E343" s="9">
        <f t="shared" si="28"/>
        <v>-564.83261677461337</v>
      </c>
      <c r="F343" s="9">
        <f t="shared" si="29"/>
        <v>2083.9252003181373</v>
      </c>
    </row>
    <row r="344" spans="2:6">
      <c r="B344">
        <f t="shared" si="25"/>
        <v>336</v>
      </c>
      <c r="C344" s="1">
        <f t="shared" si="26"/>
        <v>52322</v>
      </c>
      <c r="D344" s="9">
        <f t="shared" si="27"/>
        <v>-171533.71023270214</v>
      </c>
      <c r="E344" s="9">
        <f t="shared" si="28"/>
        <v>-571.77903410900717</v>
      </c>
      <c r="F344" s="9">
        <f t="shared" si="29"/>
        <v>2090.8716176525309</v>
      </c>
    </row>
    <row r="345" spans="2:6">
      <c r="B345">
        <f t="shared" si="25"/>
        <v>337</v>
      </c>
      <c r="C345" s="1">
        <f t="shared" si="26"/>
        <v>52352</v>
      </c>
      <c r="D345" s="9">
        <f t="shared" si="27"/>
        <v>-173624.58185035468</v>
      </c>
      <c r="E345" s="9">
        <f t="shared" si="28"/>
        <v>-578.74860616784895</v>
      </c>
      <c r="F345" s="9">
        <f t="shared" si="29"/>
        <v>2097.8411897113729</v>
      </c>
    </row>
    <row r="346" spans="2:6">
      <c r="B346">
        <f t="shared" si="25"/>
        <v>338</v>
      </c>
      <c r="C346" s="1">
        <f t="shared" si="26"/>
        <v>52383</v>
      </c>
      <c r="D346" s="9">
        <f t="shared" si="27"/>
        <v>-175722.42304006606</v>
      </c>
      <c r="E346" s="9">
        <f t="shared" si="28"/>
        <v>-585.74141013355359</v>
      </c>
      <c r="F346" s="9">
        <f t="shared" si="29"/>
        <v>2104.8339936770772</v>
      </c>
    </row>
    <row r="347" spans="2:6">
      <c r="B347">
        <f t="shared" si="25"/>
        <v>339</v>
      </c>
      <c r="C347" s="1">
        <f t="shared" si="26"/>
        <v>52413</v>
      </c>
      <c r="D347" s="9">
        <f t="shared" si="27"/>
        <v>-177827.25703374314</v>
      </c>
      <c r="E347" s="9">
        <f t="shared" si="28"/>
        <v>-592.75752344581053</v>
      </c>
      <c r="F347" s="9">
        <f t="shared" si="29"/>
        <v>2111.8501069893341</v>
      </c>
    </row>
    <row r="348" spans="2:6">
      <c r="B348">
        <f t="shared" si="25"/>
        <v>340</v>
      </c>
      <c r="C348" s="1">
        <f t="shared" si="26"/>
        <v>52444</v>
      </c>
      <c r="D348" s="9">
        <f t="shared" si="27"/>
        <v>-179939.10714073246</v>
      </c>
      <c r="E348" s="9">
        <f t="shared" si="28"/>
        <v>-599.79702380244157</v>
      </c>
      <c r="F348" s="9">
        <f t="shared" si="29"/>
        <v>2118.8896073459655</v>
      </c>
    </row>
    <row r="349" spans="2:6">
      <c r="B349">
        <f t="shared" si="25"/>
        <v>341</v>
      </c>
      <c r="C349" s="1">
        <f t="shared" si="26"/>
        <v>52475</v>
      </c>
      <c r="D349" s="9">
        <f t="shared" si="27"/>
        <v>-182057.99674807844</v>
      </c>
      <c r="E349" s="9">
        <f t="shared" si="28"/>
        <v>-606.85998916026153</v>
      </c>
      <c r="F349" s="9">
        <f t="shared" si="29"/>
        <v>2125.9525727037853</v>
      </c>
    </row>
    <row r="350" spans="2:6">
      <c r="B350">
        <f t="shared" si="25"/>
        <v>342</v>
      </c>
      <c r="C350" s="1">
        <f t="shared" si="26"/>
        <v>52505</v>
      </c>
      <c r="D350" s="9">
        <f t="shared" si="27"/>
        <v>-184183.94932078224</v>
      </c>
      <c r="E350" s="9">
        <f t="shared" si="28"/>
        <v>-613.94649773594085</v>
      </c>
      <c r="F350" s="9">
        <f t="shared" si="29"/>
        <v>2133.0390812794644</v>
      </c>
    </row>
    <row r="351" spans="2:6">
      <c r="B351">
        <f t="shared" si="25"/>
        <v>343</v>
      </c>
      <c r="C351" s="1">
        <f t="shared" si="26"/>
        <v>52536</v>
      </c>
      <c r="D351" s="9">
        <f t="shared" si="27"/>
        <v>-186316.98840206169</v>
      </c>
      <c r="E351" s="9">
        <f t="shared" si="28"/>
        <v>-621.0566280068723</v>
      </c>
      <c r="F351" s="9">
        <f t="shared" si="29"/>
        <v>2140.1492115503961</v>
      </c>
    </row>
    <row r="352" spans="2:6">
      <c r="B352">
        <f t="shared" si="25"/>
        <v>344</v>
      </c>
      <c r="C352" s="1">
        <f t="shared" si="26"/>
        <v>52566</v>
      </c>
      <c r="D352" s="9">
        <f t="shared" si="27"/>
        <v>-188457.13761361208</v>
      </c>
      <c r="E352" s="9">
        <f t="shared" si="28"/>
        <v>-628.19045871204025</v>
      </c>
      <c r="F352" s="9">
        <f t="shared" si="29"/>
        <v>2147.2830422555639</v>
      </c>
    </row>
    <row r="353" spans="2:6">
      <c r="B353">
        <f t="shared" si="25"/>
        <v>345</v>
      </c>
      <c r="C353" s="1">
        <f t="shared" si="26"/>
        <v>52597</v>
      </c>
      <c r="D353" s="9">
        <f t="shared" si="27"/>
        <v>-190604.42065586764</v>
      </c>
      <c r="E353" s="9">
        <f t="shared" si="28"/>
        <v>-635.3480688528922</v>
      </c>
      <c r="F353" s="9">
        <f t="shared" si="29"/>
        <v>2154.4406523964158</v>
      </c>
    </row>
    <row r="354" spans="2:6">
      <c r="B354">
        <f t="shared" si="25"/>
        <v>346</v>
      </c>
      <c r="C354" s="1">
        <f t="shared" si="26"/>
        <v>52628</v>
      </c>
      <c r="D354" s="9">
        <f t="shared" si="27"/>
        <v>-192758.86130826405</v>
      </c>
      <c r="E354" s="9">
        <f t="shared" si="28"/>
        <v>-642.52953769421345</v>
      </c>
      <c r="F354" s="9">
        <f t="shared" si="29"/>
        <v>2161.6221212377372</v>
      </c>
    </row>
    <row r="355" spans="2:6">
      <c r="B355">
        <f t="shared" si="25"/>
        <v>347</v>
      </c>
      <c r="C355" s="1">
        <f t="shared" si="26"/>
        <v>52657</v>
      </c>
      <c r="D355" s="9">
        <f t="shared" si="27"/>
        <v>-194920.48342950179</v>
      </c>
      <c r="E355" s="9">
        <f t="shared" si="28"/>
        <v>-649.73494476500593</v>
      </c>
      <c r="F355" s="9">
        <f t="shared" si="29"/>
        <v>2168.8275283085295</v>
      </c>
    </row>
    <row r="356" spans="2:6">
      <c r="B356">
        <f t="shared" si="25"/>
        <v>348</v>
      </c>
      <c r="C356" s="1">
        <f t="shared" si="26"/>
        <v>52688</v>
      </c>
      <c r="D356" s="9">
        <f t="shared" si="27"/>
        <v>-197089.31095781032</v>
      </c>
      <c r="E356" s="9">
        <f t="shared" si="28"/>
        <v>-656.96436985936771</v>
      </c>
      <c r="F356" s="9">
        <f t="shared" si="29"/>
        <v>2176.0569534028914</v>
      </c>
    </row>
    <row r="357" spans="2:6">
      <c r="B357">
        <f t="shared" si="25"/>
        <v>349</v>
      </c>
      <c r="C357" s="1">
        <f t="shared" si="26"/>
        <v>52718</v>
      </c>
      <c r="D357" s="9">
        <f t="shared" si="27"/>
        <v>-199265.36791121322</v>
      </c>
      <c r="E357" s="9">
        <f t="shared" si="28"/>
        <v>-664.21789303737739</v>
      </c>
      <c r="F357" s="9">
        <f t="shared" si="29"/>
        <v>2183.3104765809012</v>
      </c>
    </row>
    <row r="358" spans="2:6">
      <c r="B358">
        <f t="shared" si="25"/>
        <v>350</v>
      </c>
      <c r="C358" s="1">
        <f t="shared" si="26"/>
        <v>52749</v>
      </c>
      <c r="D358" s="9">
        <f t="shared" si="27"/>
        <v>-201448.67838779412</v>
      </c>
      <c r="E358" s="9">
        <f t="shared" si="28"/>
        <v>-671.4955946259804</v>
      </c>
      <c r="F358" s="9">
        <f t="shared" si="29"/>
        <v>2190.5881781695043</v>
      </c>
    </row>
    <row r="359" spans="2:6">
      <c r="B359">
        <f t="shared" si="25"/>
        <v>351</v>
      </c>
      <c r="C359" s="1">
        <f t="shared" si="26"/>
        <v>52779</v>
      </c>
      <c r="D359" s="9">
        <f t="shared" si="27"/>
        <v>-203639.26656596363</v>
      </c>
      <c r="E359" s="9">
        <f t="shared" si="28"/>
        <v>-678.79755521987875</v>
      </c>
      <c r="F359" s="9">
        <f t="shared" si="29"/>
        <v>2197.8901387634023</v>
      </c>
    </row>
    <row r="360" spans="2:6">
      <c r="B360">
        <f t="shared" si="25"/>
        <v>352</v>
      </c>
      <c r="C360" s="1">
        <f t="shared" si="26"/>
        <v>52810</v>
      </c>
      <c r="D360" s="9">
        <f t="shared" si="27"/>
        <v>-205837.15670472704</v>
      </c>
      <c r="E360" s="9">
        <f t="shared" si="28"/>
        <v>-686.12385568242337</v>
      </c>
      <c r="F360" s="9">
        <f t="shared" si="29"/>
        <v>2205.2164392259469</v>
      </c>
    </row>
    <row r="361" spans="2:6">
      <c r="B361">
        <f t="shared" si="25"/>
        <v>353</v>
      </c>
      <c r="C361" s="1">
        <f t="shared" si="26"/>
        <v>52841</v>
      </c>
      <c r="D361" s="9">
        <f t="shared" si="27"/>
        <v>-208042.37314395298</v>
      </c>
      <c r="E361" s="9">
        <f t="shared" si="28"/>
        <v>-693.47457714651</v>
      </c>
      <c r="F361" s="9">
        <f t="shared" si="29"/>
        <v>2212.5671606900337</v>
      </c>
    </row>
    <row r="362" spans="2:6">
      <c r="B362">
        <f t="shared" si="25"/>
        <v>354</v>
      </c>
      <c r="C362" s="1">
        <f t="shared" si="26"/>
        <v>52871</v>
      </c>
      <c r="D362" s="9">
        <f t="shared" si="27"/>
        <v>-210254.94030464301</v>
      </c>
      <c r="E362" s="9">
        <f t="shared" si="28"/>
        <v>-700.84980101547671</v>
      </c>
      <c r="F362" s="9">
        <f t="shared" si="29"/>
        <v>2219.9423845590004</v>
      </c>
    </row>
    <row r="363" spans="2:6">
      <c r="B363">
        <f t="shared" si="25"/>
        <v>355</v>
      </c>
      <c r="C363" s="1">
        <f t="shared" si="26"/>
        <v>52902</v>
      </c>
      <c r="D363" s="9">
        <f t="shared" si="27"/>
        <v>-212474.882689202</v>
      </c>
      <c r="E363" s="9">
        <f t="shared" si="28"/>
        <v>-708.24960896400671</v>
      </c>
      <c r="F363" s="9">
        <f t="shared" si="29"/>
        <v>2227.3421925075304</v>
      </c>
    </row>
    <row r="364" spans="2:6">
      <c r="B364">
        <f t="shared" si="25"/>
        <v>356</v>
      </c>
      <c r="C364" s="1">
        <f t="shared" si="26"/>
        <v>52932</v>
      </c>
      <c r="D364" s="9">
        <f t="shared" si="27"/>
        <v>-214702.22488170952</v>
      </c>
      <c r="E364" s="9">
        <f t="shared" si="28"/>
        <v>-715.67408293903179</v>
      </c>
      <c r="F364" s="9">
        <f t="shared" si="29"/>
        <v>2234.7666664825556</v>
      </c>
    </row>
    <row r="365" spans="2:6">
      <c r="B365">
        <f t="shared" si="25"/>
        <v>357</v>
      </c>
      <c r="C365" s="1">
        <f t="shared" si="26"/>
        <v>52963</v>
      </c>
      <c r="D365" s="9">
        <f t="shared" si="27"/>
        <v>-216936.99154819208</v>
      </c>
      <c r="E365" s="9">
        <f t="shared" si="28"/>
        <v>-723.12330516064037</v>
      </c>
      <c r="F365" s="9">
        <f t="shared" si="29"/>
        <v>2242.2158887041642</v>
      </c>
    </row>
    <row r="366" spans="2:6">
      <c r="B366">
        <f t="shared" si="25"/>
        <v>358</v>
      </c>
      <c r="C366" s="1">
        <f t="shared" si="26"/>
        <v>52994</v>
      </c>
      <c r="D366" s="9">
        <f t="shared" si="27"/>
        <v>-219179.20743689625</v>
      </c>
      <c r="E366" s="9">
        <f t="shared" si="28"/>
        <v>-730.59735812298743</v>
      </c>
      <c r="F366" s="9">
        <f t="shared" si="29"/>
        <v>2249.689941666511</v>
      </c>
    </row>
    <row r="367" spans="2:6">
      <c r="B367">
        <f t="shared" si="25"/>
        <v>359</v>
      </c>
      <c r="C367" s="1">
        <f t="shared" si="26"/>
        <v>53022</v>
      </c>
      <c r="D367" s="9">
        <f t="shared" si="27"/>
        <v>-221428.89737856277</v>
      </c>
      <c r="E367" s="9">
        <f t="shared" si="28"/>
        <v>-738.09632459520924</v>
      </c>
      <c r="F367" s="9">
        <f t="shared" si="29"/>
        <v>2257.188908138733</v>
      </c>
    </row>
    <row r="368" spans="2:6">
      <c r="B368">
        <f t="shared" si="25"/>
        <v>360</v>
      </c>
      <c r="C368" s="1">
        <f t="shared" si="26"/>
        <v>53053</v>
      </c>
      <c r="D368" s="9">
        <f t="shared" si="27"/>
        <v>-223686.08628670149</v>
      </c>
      <c r="E368" s="9">
        <f t="shared" si="28"/>
        <v>-745.62028762233831</v>
      </c>
      <c r="F368" s="9">
        <f t="shared" si="29"/>
        <v>2264.712871165862</v>
      </c>
    </row>
    <row r="369" spans="2:6">
      <c r="B369">
        <f t="shared" si="25"/>
        <v>361</v>
      </c>
      <c r="C369" s="1">
        <f t="shared" si="26"/>
        <v>53083</v>
      </c>
      <c r="D369" s="9">
        <f t="shared" si="27"/>
        <v>-225950.79915786735</v>
      </c>
      <c r="E369" s="9">
        <f t="shared" si="28"/>
        <v>-753.1693305262246</v>
      </c>
      <c r="F369" s="9">
        <f t="shared" si="29"/>
        <v>2272.2619140697484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 sizeWithCells="1">
                  <from>
                    <xdr:col>4</xdr:col>
                    <xdr:colOff>292100</xdr:colOff>
                    <xdr:row>1</xdr:row>
                    <xdr:rowOff>139700</xdr:rowOff>
                  </from>
                  <to>
                    <xdr:col>4</xdr:col>
                    <xdr:colOff>1206500</xdr:colOff>
                    <xdr:row>6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tech support</dc:creator>
  <cp:keywords/>
  <dc:description/>
  <cp:lastModifiedBy>tech support</cp:lastModifiedBy>
  <cp:revision/>
  <dcterms:created xsi:type="dcterms:W3CDTF">2015-02-04T13:46:00Z</dcterms:created>
  <dcterms:modified xsi:type="dcterms:W3CDTF">2015-04-28T14:22:53Z</dcterms:modified>
</cp:coreProperties>
</file>